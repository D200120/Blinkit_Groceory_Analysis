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HP\Downloads\Blinkit Grocery Project\"/>
    </mc:Choice>
  </mc:AlternateContent>
  <xr:revisionPtr revIDLastSave="0" documentId="13_ncr:1_{550AF72D-F929-49A7-A450-6488FEA10C45}" xr6:coauthVersionLast="47" xr6:coauthVersionMax="47" xr10:uidLastSave="{00000000-0000-0000-0000-000000000000}"/>
  <bookViews>
    <workbookView xWindow="-108" yWindow="-108" windowWidth="23256" windowHeight="12576" activeTab="1" xr2:uid="{F8420BDF-C08E-4FBB-891B-F574F63AC6D0}"/>
  </bookViews>
  <sheets>
    <sheet name="Sheet Design " sheetId="2" r:id="rId1"/>
    <sheet name="Dashboard" sheetId="3" r:id="rId2"/>
    <sheet name="BlinkIT Grocery Data" sheetId="1" r:id="rId3"/>
  </sheets>
  <definedNames>
    <definedName name="_xlchart.v2.0" hidden="1">'Sheet Design '!$D$108:$D$110</definedName>
    <definedName name="_xlchart.v2.1" hidden="1">'Sheet Design '!$E$107</definedName>
    <definedName name="_xlchart.v2.2" hidden="1">'Sheet Design '!$E$108:$E$110</definedName>
    <definedName name="_xlchart.v2.3" hidden="1">'Sheet Design '!$D$108:$D$110</definedName>
    <definedName name="_xlchart.v2.4" hidden="1">'Sheet Design '!$E$107</definedName>
    <definedName name="_xlchart.v2.5" hidden="1">'Sheet Design '!$E$108:$E$110</definedName>
    <definedName name="_xlchart.v2.6" hidden="1">'Sheet Design '!$D$108:$D$110</definedName>
    <definedName name="_xlchart.v2.7" hidden="1">'Sheet Design '!$E$107</definedName>
    <definedName name="_xlchart.v2.8" hidden="1">'Sheet Design '!$E$108:$E$110</definedName>
    <definedName name="Slicer_Item_Type">#N/A</definedName>
    <definedName name="Slicer_Outlet_Location_Type">#N/A</definedName>
    <definedName name="Slicer_Outlet_Size">#N/A</definedName>
  </definedNames>
  <calcPr calcId="191029"/>
  <pivotCaches>
    <pivotCache cacheId="34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9" i="2" l="1"/>
  <c r="D108" i="2"/>
  <c r="D110" i="2"/>
  <c r="E108" i="2"/>
  <c r="E109" i="2"/>
  <c r="E110" i="2"/>
  <c r="D9" i="2"/>
  <c r="C9" i="2"/>
  <c r="B9" i="2"/>
  <c r="A9" i="2"/>
</calcChain>
</file>

<file path=xl/sharedStrings.xml><?xml version="1.0" encoding="utf-8"?>
<sst xmlns="http://schemas.openxmlformats.org/spreadsheetml/2006/main" count="59751" uniqueCount="1629">
  <si>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</si>
  <si>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</si>
  <si>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</si>
  <si>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</si>
  <si>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</si>
  <si>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</si>
  <si>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</si>
  <si>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</si>
  <si>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</si>
  <si>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</si>
  <si>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</si>
  <si>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</si>
  <si>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</si>
  <si>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</si>
  <si>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</si>
  <si>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</si>
  <si>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</si>
  <si>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</si>
  <si>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</si>
  <si>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</si>
  <si>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</si>
  <si>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</si>
  <si>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</si>
  <si>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</si>
  <si>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</si>
  <si>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</si>
  <si>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</si>
  <si>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</si>
  <si>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</si>
  <si>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</si>
  <si>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</si>
  <si>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</si>
  <si>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</si>
  <si>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</si>
  <si>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</si>
  <si>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</si>
  <si>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</si>
  <si>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</si>
  <si>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</si>
  <si>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</si>
  <si>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</si>
  <si>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</si>
  <si>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</si>
  <si>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</si>
  <si>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</si>
  <si>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</si>
  <si>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</si>
  <si>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</si>
  <si>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</si>
  <si>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</si>
  <si>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</si>
  <si>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</si>
  <si>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</si>
  <si>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</si>
  <si>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</si>
  <si>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</si>
  <si>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</si>
  <si>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</si>
  <si>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</si>
  <si>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</si>
  <si>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</si>
  <si>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</si>
  <si>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</si>
  <si>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</si>
  <si>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</si>
  <si>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</si>
  <si>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</si>
  <si>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</si>
  <si>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</si>
  <si>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</si>
  <si>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</si>
  <si>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</si>
  <si>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</si>
  <si>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</si>
  <si>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</si>
  <si>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</si>
  <si>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</si>
  <si>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</si>
  <si>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</si>
  <si>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</si>
  <si>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</si>
  <si>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</si>
  <si>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</si>
  <si>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</si>
  <si>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</si>
  <si>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</si>
  <si>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</si>
  <si>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</si>
  <si>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</si>
  <si>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</si>
  <si>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</si>
  <si>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</si>
  <si>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</si>
  <si>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</si>
  <si>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</si>
  <si>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</si>
  <si>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</si>
  <si>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</si>
  <si>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</si>
  <si>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</si>
  <si>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</si>
  <si>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</si>
  <si>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</si>
  <si>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</si>
  <si>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</si>
  <si>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</si>
  <si>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</si>
  <si>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</si>
  <si>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</si>
  <si>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</si>
  <si>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</si>
  <si>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</si>
  <si>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</si>
  <si>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</si>
  <si>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</si>
  <si>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</si>
  <si>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</si>
  <si>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</si>
  <si>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</si>
  <si>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</si>
  <si>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</si>
  <si>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</si>
  <si>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</si>
  <si>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</si>
  <si>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</si>
  <si>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</si>
  <si>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</si>
  <si>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</si>
  <si>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</si>
  <si>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</si>
  <si>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</si>
  <si>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</si>
  <si>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</si>
  <si>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</si>
  <si>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</si>
  <si>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</si>
  <si>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</si>
  <si>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</si>
  <si>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</si>
  <si>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</si>
  <si>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</si>
  <si>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</si>
  <si>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</si>
  <si>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</si>
  <si>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</si>
  <si>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</si>
  <si>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</si>
  <si>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</si>
  <si>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</si>
  <si>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</si>
  <si>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</si>
  <si>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</si>
  <si>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</si>
  <si>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</si>
  <si>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</si>
  <si>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</si>
  <si>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</si>
  <si>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</si>
  <si>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</si>
  <si>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</si>
  <si>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</si>
  <si>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</si>
  <si>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</si>
  <si>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</si>
  <si>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</si>
  <si>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</si>
  <si>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</si>
  <si>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</si>
  <si>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</si>
  <si>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</si>
  <si>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</si>
  <si>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</si>
  <si>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</si>
  <si>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</si>
  <si>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</si>
  <si>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</si>
  <si>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</si>
  <si>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</si>
  <si>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</si>
  <si>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</si>
  <si>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</si>
  <si>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</si>
  <si>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</si>
  <si>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</si>
  <si>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</si>
  <si>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</si>
  <si>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</si>
  <si>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</si>
  <si>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</si>
  <si>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</si>
  <si>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</si>
  <si>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</si>
  <si>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</si>
  <si>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</si>
  <si>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</si>
  <si>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</si>
  <si>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</si>
  <si>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</si>
  <si>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</si>
  <si>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</si>
  <si>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</si>
  <si>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</si>
  <si>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</si>
  <si>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</si>
  <si>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</si>
  <si>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</si>
  <si>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</si>
  <si>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</si>
  <si>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</si>
  <si>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</si>
  <si>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</si>
  <si>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</si>
  <si>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</si>
  <si>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</si>
  <si>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</si>
  <si>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</si>
  <si>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</si>
  <si>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</si>
  <si>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</si>
  <si>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</si>
  <si>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</si>
  <si>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</si>
  <si>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</si>
  <si>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</si>
  <si>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</si>
  <si>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</si>
  <si>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</si>
  <si>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</si>
  <si>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</si>
  <si>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</si>
  <si>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</si>
  <si>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</si>
  <si>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</si>
  <si>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</si>
  <si>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</si>
  <si>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</si>
  <si>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</si>
  <si>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</si>
  <si>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</si>
  <si>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</si>
  <si>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</si>
  <si>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</si>
  <si>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</si>
  <si>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</si>
  <si>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</si>
  <si>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</si>
  <si>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</si>
  <si>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</si>
  <si>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</si>
  <si>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</si>
  <si>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</si>
  <si>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</si>
  <si>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</si>
  <si>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</si>
  <si>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</si>
  <si>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</si>
  <si>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</si>
  <si>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</si>
  <si>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</si>
  <si>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</si>
  <si>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</si>
  <si>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</si>
  <si>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</si>
  <si>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</si>
  <si>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</si>
  <si>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</si>
  <si>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</si>
  <si>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</si>
  <si>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</si>
  <si>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</si>
  <si>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</si>
  <si>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</si>
  <si>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</si>
  <si>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</si>
  <si>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</si>
  <si>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</si>
  <si>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</si>
  <si>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</si>
  <si>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</si>
  <si>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</si>
  <si>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</si>
  <si>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</si>
  <si>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</si>
  <si>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</si>
  <si>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</si>
  <si>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</si>
  <si>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</si>
  <si>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</si>
  <si>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</si>
  <si>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</si>
  <si>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</si>
  <si>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</si>
  <si>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</si>
  <si>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</si>
  <si>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</si>
  <si>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</si>
  <si>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</si>
  <si>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</si>
  <si>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</si>
  <si>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</si>
  <si>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</si>
  <si>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</si>
  <si>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</si>
  <si>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</si>
  <si>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</si>
  <si>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</si>
  <si>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</si>
  <si>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</si>
  <si>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</si>
  <si>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</si>
  <si>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</si>
  <si>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</si>
  <si>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</si>
  <si>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</si>
  <si>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</si>
  <si>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</si>
  <si>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</si>
  <si>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</si>
  <si>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</si>
  <si>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</si>
  <si>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</si>
  <si>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</si>
  <si>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</si>
  <si>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</si>
  <si>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</si>
  <si>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</si>
  <si>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</si>
  <si>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</si>
  <si>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</si>
  <si>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</si>
  <si>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</si>
  <si>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</si>
  <si>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</si>
  <si>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</si>
  <si>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</si>
  <si>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</si>
  <si>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</si>
  <si>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</si>
  <si>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</si>
  <si>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</si>
  <si>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</si>
  <si>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</si>
  <si>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</si>
  <si>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</si>
  <si>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</si>
  <si>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</si>
  <si>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</si>
  <si>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</si>
  <si>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</si>
  <si>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</si>
  <si>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</si>
  <si>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</si>
  <si>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</si>
  <si>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</si>
  <si>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</si>
  <si>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</si>
  <si>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</si>
  <si>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</si>
  <si>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</si>
  <si>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</si>
  <si>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</si>
  <si>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</si>
  <si>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</si>
  <si>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</si>
  <si>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</si>
  <si>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</si>
  <si>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</si>
  <si>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</si>
  <si>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</si>
  <si>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</si>
  <si>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</si>
  <si>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</si>
  <si>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</si>
  <si>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</si>
  <si>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</si>
  <si>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</si>
  <si>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</si>
  <si>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</si>
  <si>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</si>
  <si>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</si>
  <si>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</si>
  <si>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</si>
  <si>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</si>
  <si>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</si>
  <si>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</si>
  <si>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</si>
  <si>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</si>
  <si>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</si>
  <si>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</si>
  <si>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</si>
  <si>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</si>
  <si>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</si>
  <si>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</si>
  <si>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</si>
  <si>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</si>
  <si>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</si>
  <si>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</si>
  <si>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</si>
  <si>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</si>
  <si>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</si>
  <si>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</si>
  <si>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</si>
  <si>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</si>
  <si>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</si>
  <si>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</si>
  <si>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</si>
  <si>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</si>
  <si>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</si>
  <si>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</si>
  <si>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</si>
  <si>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</si>
  <si>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</si>
  <si>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</si>
  <si>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</si>
  <si>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</si>
  <si>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</si>
  <si>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</si>
  <si>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</si>
  <si>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</si>
  <si>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</si>
  <si>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</si>
  <si>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</si>
  <si>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</si>
  <si>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</si>
  <si>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</si>
  <si>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</si>
  <si>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</si>
  <si>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</si>
  <si>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</si>
  <si>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</si>
  <si>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</si>
  <si>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</si>
  <si>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</si>
  <si>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</si>
  <si>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</si>
  <si>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</si>
  <si>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</si>
  <si>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</si>
  <si>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</si>
  <si>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</si>
  <si>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</si>
  <si>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</si>
  <si>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</si>
  <si>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</si>
  <si>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</si>
  <si>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</si>
  <si>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</si>
  <si>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</si>
  <si>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</si>
  <si>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</si>
  <si>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</si>
  <si>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</si>
  <si>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</si>
  <si>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</si>
  <si>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</si>
  <si>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</si>
  <si>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</si>
  <si>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</si>
  <si>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</si>
  <si>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</si>
  <si>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</si>
  <si>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</si>
  <si>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</si>
  <si>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</si>
  <si>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</si>
  <si>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</si>
  <si>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</si>
  <si>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</si>
  <si>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</si>
  <si>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</si>
  <si>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</si>
  <si>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</si>
  <si>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</si>
  <si>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</si>
  <si>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</si>
  <si>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</si>
  <si>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</si>
  <si>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</si>
  <si>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</si>
  <si>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</si>
  <si>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</si>
  <si>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</si>
  <si>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</si>
  <si>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</si>
  <si>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</si>
  <si>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</si>
  <si>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</si>
  <si>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</si>
  <si>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</si>
  <si>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</si>
  <si>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</si>
  <si>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</si>
  <si>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</si>
  <si>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</si>
  <si>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</si>
  <si>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</si>
  <si>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</si>
  <si>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</si>
  <si>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</si>
  <si>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</si>
  <si>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</si>
  <si>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</si>
  <si>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</si>
  <si>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</si>
  <si>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</si>
  <si>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</si>
  <si>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</si>
  <si>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</si>
  <si>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</si>
  <si>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</si>
  <si>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</si>
  <si>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</si>
  <si>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</si>
  <si>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</si>
  <si>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</si>
  <si>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</si>
  <si>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</si>
  <si>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</si>
  <si>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</si>
  <si>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</si>
  <si>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</si>
  <si>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</si>
  <si>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</si>
  <si>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</si>
  <si>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</si>
  <si>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</si>
  <si>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</si>
  <si>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</si>
  <si>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</si>
  <si>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</si>
  <si>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</si>
  <si>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</si>
  <si>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</si>
  <si>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</si>
  <si>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</si>
  <si>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</si>
  <si>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</si>
  <si>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</si>
  <si>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</si>
  <si>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</si>
  <si>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</si>
  <si>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</si>
  <si>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</si>
  <si>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</si>
  <si>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</si>
  <si>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</si>
  <si>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</si>
  <si>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</si>
  <si>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</si>
  <si>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</si>
  <si>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</si>
  <si>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</si>
  <si>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</si>
  <si>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</si>
  <si>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</si>
  <si>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</si>
  <si>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</si>
  <si>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</si>
  <si>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</si>
  <si>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</si>
  <si>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</si>
  <si>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</si>
  <si>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</si>
  <si>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</si>
  <si>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</si>
  <si>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</si>
  <si>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</si>
  <si>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</si>
  <si>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</si>
  <si>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</si>
  <si>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</si>
  <si>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</si>
  <si>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</si>
  <si>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</si>
  <si>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</si>
  <si>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</si>
  <si>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</si>
  <si>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</si>
  <si>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</si>
  <si>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</si>
  <si>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</si>
  <si>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</si>
  <si>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</si>
  <si>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</si>
  <si>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</si>
  <si>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</si>
  <si>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</si>
  <si>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</si>
  <si>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</si>
  <si>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</si>
  <si>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</si>
  <si>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</si>
  <si>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</si>
  <si>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</si>
  <si>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</si>
  <si>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</si>
  <si>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</si>
  <si>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</si>
  <si>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</si>
  <si>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</si>
  <si>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</si>
  <si>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</si>
  <si>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</si>
  <si>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</si>
  <si>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</si>
  <si>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</si>
  <si>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</si>
  <si>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</si>
  <si>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</si>
  <si>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</si>
  <si>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</si>
  <si>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</si>
  <si>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</si>
  <si>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</si>
  <si>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</si>
  <si>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</si>
  <si>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</si>
  <si>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</si>
  <si>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</si>
  <si>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</si>
  <si>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</si>
  <si>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</si>
  <si>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</si>
  <si>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</si>
  <si>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</si>
  <si>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</si>
  <si>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</si>
  <si>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</si>
  <si>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</si>
  <si>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</si>
  <si>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</si>
  <si>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</si>
  <si>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</si>
  <si>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</si>
  <si>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</si>
  <si>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</si>
  <si>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</si>
  <si>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</si>
  <si>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</si>
  <si>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</si>
  <si>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</si>
  <si>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</si>
  <si>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</si>
  <si>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</si>
  <si>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</si>
  <si>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</si>
  <si>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</si>
  <si>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</si>
  <si>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</si>
  <si>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</si>
  <si>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</si>
  <si>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</si>
  <si>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</si>
  <si>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</si>
  <si>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</si>
  <si>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</si>
  <si>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</si>
  <si>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</si>
  <si>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</si>
  <si>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</si>
  <si>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</si>
  <si>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</si>
  <si>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</si>
  <si>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</si>
  <si>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</si>
  <si>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</si>
  <si>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</si>
  <si>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</si>
  <si>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</si>
  <si>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</si>
  <si>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</si>
  <si>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</si>
  <si>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</si>
  <si>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</si>
  <si>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</si>
  <si>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</si>
  <si>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</si>
  <si>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</si>
  <si>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</si>
  <si>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</si>
  <si>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</si>
  <si>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</si>
  <si>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</si>
  <si>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</si>
  <si>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</si>
  <si>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</si>
  <si>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</si>
  <si>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</si>
  <si>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</si>
  <si>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</si>
  <si>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</si>
  <si>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</si>
  <si>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</si>
  <si>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</si>
  <si>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</si>
  <si>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</si>
  <si>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</si>
  <si>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</si>
  <si>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</si>
  <si>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</si>
  <si>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</si>
  <si>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</si>
  <si>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</si>
  <si>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</si>
  <si>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</si>
  <si>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</si>
  <si>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</si>
  <si>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</si>
  <si>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</si>
  <si>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</si>
  <si>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</si>
  <si>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</si>
  <si>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</si>
  <si>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</si>
  <si>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</si>
  <si>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</si>
  <si>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</si>
  <si>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</si>
  <si>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</si>
  <si>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</si>
  <si>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</si>
  <si>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</si>
  <si>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</si>
  <si>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</si>
  <si>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</si>
  <si>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</si>
  <si>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</si>
  <si>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</si>
  <si>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</si>
  <si>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</si>
  <si>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</si>
  <si>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</si>
  <si>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</si>
  <si>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</si>
  <si>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</si>
  <si>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</si>
  <si>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</si>
  <si>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</si>
  <si>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</si>
  <si>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</si>
  <si>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</si>
  <si>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</si>
  <si>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</si>
  <si>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</si>
  <si>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</si>
  <si>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</si>
  <si>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</si>
  <si>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</si>
  <si>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</si>
  <si>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</si>
  <si>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</si>
  <si>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</si>
  <si>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</si>
  <si>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</si>
  <si>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</si>
  <si>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</si>
  <si>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</si>
  <si>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</si>
  <si>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</si>
  <si>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</si>
  <si>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</si>
  <si>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</si>
  <si>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</si>
  <si>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</si>
  <si>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</si>
  <si>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</si>
  <si>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</si>
  <si>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</si>
  <si>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</si>
  <si>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</si>
  <si>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</si>
  <si>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</si>
  <si>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</si>
  <si>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</si>
  <si>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</si>
  <si>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</si>
  <si>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</si>
  <si>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</si>
  <si>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</si>
  <si>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</si>
  <si>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</si>
  <si>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</si>
  <si>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</si>
  <si>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</si>
  <si>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</si>
  <si>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</si>
  <si>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</si>
  <si>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</si>
  <si>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</si>
  <si>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</si>
  <si>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</si>
  <si>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</si>
  <si>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</si>
  <si>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</si>
  <si>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</si>
  <si>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</si>
  <si>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</si>
  <si>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</si>
  <si>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</si>
  <si>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</si>
  <si>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</si>
  <si>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</si>
  <si>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</si>
  <si>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</si>
  <si>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</si>
  <si>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</si>
  <si>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</si>
  <si>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</si>
  <si>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</si>
  <si>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</si>
  <si>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</si>
  <si>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</si>
  <si>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</si>
  <si>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</si>
  <si>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</si>
  <si>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</si>
  <si>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</si>
  <si>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</si>
  <si>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</si>
  <si>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</si>
  <si>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</si>
  <si>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</si>
  <si>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</si>
  <si>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</si>
  <si>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</si>
  <si>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</si>
  <si>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</si>
  <si>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</si>
  <si>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</si>
  <si>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</si>
  <si>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</si>
  <si>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</si>
  <si>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</si>
  <si>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</si>
  <si>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</si>
  <si>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</si>
  <si>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</si>
  <si>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</si>
  <si>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</si>
  <si>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</si>
  <si>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</si>
  <si>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</si>
  <si>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</si>
  <si>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</si>
  <si>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</si>
  <si>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</si>
  <si>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</si>
  <si>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</si>
  <si>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</si>
  <si>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</si>
  <si>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</si>
  <si>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</si>
  <si>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</si>
  <si>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</si>
  <si>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</si>
  <si>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</si>
  <si>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</si>
  <si>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</si>
  <si>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</si>
  <si>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</si>
  <si>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</si>
  <si>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</si>
  <si>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</si>
  <si>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</si>
  <si>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</si>
  <si>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</si>
  <si>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</si>
  <si>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</si>
  <si>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</si>
  <si>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</si>
  <si>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</si>
  <si>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</si>
  <si>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</si>
  <si>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</si>
  <si>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</si>
  <si>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</si>
  <si>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</si>
  <si>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</si>
  <si>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</si>
  <si>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</si>
  <si>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</si>
  <si>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</si>
  <si>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</si>
  <si>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</si>
  <si>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</si>
  <si>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</si>
  <si>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</si>
  <si>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</si>
  <si>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</si>
  <si>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</si>
  <si>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</si>
  <si>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</si>
  <si>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</si>
  <si>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</si>
  <si>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</si>
  <si>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</si>
  <si>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</si>
  <si>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</si>
  <si>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</si>
  <si>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</si>
  <si>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</si>
  <si>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</si>
  <si>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</si>
  <si>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</si>
  <si>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</si>
  <si>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</si>
  <si>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</si>
  <si>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</si>
  <si>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</si>
  <si>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</si>
  <si>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</si>
  <si>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</si>
  <si>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</si>
  <si>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</si>
  <si>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</si>
  <si>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</si>
  <si>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</si>
  <si>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</si>
  <si>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</si>
  <si>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</si>
  <si>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</si>
  <si>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</si>
  <si>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</si>
  <si>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</si>
  <si>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</si>
  <si>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</si>
  <si>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</si>
  <si>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</si>
  <si>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</si>
  <si>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</si>
  <si>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</si>
  <si>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</si>
  <si>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</si>
  <si>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</si>
  <si>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</si>
  <si>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</si>
  <si>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</si>
  <si>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</si>
  <si>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</si>
  <si>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</si>
  <si>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</si>
  <si>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</si>
  <si>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</si>
  <si>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</si>
  <si>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</si>
  <si>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</si>
  <si>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</si>
  <si>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</si>
  <si>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</si>
  <si>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</si>
  <si>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</si>
  <si>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</si>
  <si>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</si>
  <si>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</si>
  <si>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</si>
  <si>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</si>
  <si>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</si>
  <si>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</si>
  <si>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</si>
  <si>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</si>
  <si>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</si>
  <si>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</si>
  <si>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</si>
  <si>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</si>
  <si>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</si>
  <si>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</si>
  <si>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</si>
  <si>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</si>
  <si>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</si>
  <si>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</si>
  <si>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</si>
  <si>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</si>
  <si>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</si>
  <si>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</si>
  <si>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</si>
  <si>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</si>
  <si>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</si>
  <si>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</si>
  <si>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</si>
  <si>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</si>
  <si>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</si>
  <si>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</si>
  <si>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</si>
  <si>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</si>
  <si>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</si>
  <si>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</si>
  <si>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</si>
  <si>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</si>
  <si>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</si>
  <si>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</si>
  <si>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</si>
  <si>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</si>
  <si>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</si>
  <si>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</si>
  <si>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</si>
  <si>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</si>
  <si>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</si>
  <si>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</si>
  <si>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</si>
  <si>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</si>
  <si>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</si>
  <si>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</si>
  <si>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</si>
  <si>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</si>
  <si>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</si>
  <si>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</si>
  <si>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</si>
  <si>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</si>
  <si>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</si>
  <si>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</si>
  <si>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</si>
  <si>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</si>
  <si>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</si>
  <si>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</si>
  <si>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</si>
  <si>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</si>
  <si>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</si>
  <si>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</si>
  <si>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</si>
  <si>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</si>
  <si>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</si>
  <si>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</si>
  <si>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</si>
  <si>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</si>
  <si>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</si>
  <si>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</si>
  <si>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</si>
  <si>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</si>
  <si>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</si>
  <si>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</si>
  <si>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</si>
  <si>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</si>
  <si>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</si>
  <si>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</si>
  <si>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</si>
  <si>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</si>
  <si>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</si>
  <si>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</si>
  <si>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</si>
  <si>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</si>
  <si>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</si>
  <si>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</si>
  <si>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</si>
  <si>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</si>
  <si>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</si>
  <si>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</si>
  <si>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</si>
  <si>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</si>
  <si>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</si>
  <si>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</si>
  <si>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</si>
  <si>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</si>
  <si>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</si>
  <si>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</si>
  <si>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</si>
  <si>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</si>
  <si>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</si>
  <si>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</si>
  <si>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</si>
  <si>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</si>
  <si>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</si>
  <si>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</si>
  <si>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</si>
  <si>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</si>
  <si>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</si>
  <si>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</si>
  <si>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</si>
  <si>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</si>
  <si>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</si>
  <si>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</si>
  <si>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</si>
  <si>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</si>
  <si>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</si>
  <si>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</si>
  <si>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</si>
  <si>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</si>
  <si>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</si>
  <si>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</si>
  <si>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</si>
  <si>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</si>
  <si>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</si>
  <si>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</si>
  <si>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</si>
  <si>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</si>
  <si>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</si>
  <si>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</si>
  <si>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</si>
  <si>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</si>
  <si>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</si>
  <si>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</si>
  <si>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</si>
  <si>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</si>
  <si>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</si>
  <si>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</si>
  <si>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</si>
  <si>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</si>
  <si>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</si>
  <si>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</si>
  <si>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</si>
  <si>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</si>
  <si>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</si>
  <si>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</si>
  <si>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</si>
  <si>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</si>
  <si>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</si>
  <si>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</si>
  <si>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</si>
  <si>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</si>
  <si>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</si>
  <si>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</si>
  <si>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</si>
  <si>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</si>
  <si>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</si>
  <si>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</si>
  <si>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</si>
  <si>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</si>
  <si>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</si>
  <si>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</si>
  <si>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</si>
  <si>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</si>
  <si>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</si>
  <si>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</si>
  <si>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</si>
  <si>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</si>
  <si>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</si>
  <si>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</si>
  <si>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</si>
  <si>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</si>
  <si>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</si>
  <si>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</si>
  <si>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</si>
  <si>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</si>
  <si>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</si>
  <si>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</si>
  <si>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</si>
  <si>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</si>
  <si>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</si>
  <si>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</si>
  <si>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</si>
  <si>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</si>
  <si>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</si>
  <si>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</si>
  <si>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</si>
  <si>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</si>
  <si>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</si>
  <si>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</si>
  <si>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</si>
  <si>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</si>
  <si>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</si>
  <si>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</si>
  <si>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</si>
  <si>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</si>
  <si>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</si>
  <si>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</si>
  <si>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</si>
  <si>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</si>
  <si>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</si>
  <si>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</si>
  <si>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</si>
  <si>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</si>
  <si>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</si>
  <si>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</si>
  <si>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</si>
  <si>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</si>
  <si>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</si>
  <si>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</si>
  <si>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</si>
  <si>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</si>
  <si>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</si>
  <si>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</si>
  <si>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</si>
  <si>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</si>
  <si>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</si>
  <si>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</si>
  <si>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</si>
  <si>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</si>
  <si>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</si>
  <si>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</si>
  <si>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</si>
  <si>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</si>
  <si>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</si>
  <si>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</si>
  <si>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</si>
  <si>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</si>
  <si>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</si>
  <si>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</si>
  <si>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</si>
  <si>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</si>
  <si>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</si>
  <si>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</si>
  <si>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</si>
  <si>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</si>
  <si>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</si>
  <si>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</si>
  <si>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</si>
  <si>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</si>
  <si>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</si>
  <si>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</si>
  <si>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</si>
  <si>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</si>
  <si>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</si>
  <si>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</si>
  <si>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</si>
  <si>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</si>
  <si>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</si>
  <si>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</si>
  <si>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</si>
  <si>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</si>
  <si>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</si>
  <si>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</si>
  <si>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</si>
  <si>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</si>
  <si>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</si>
  <si>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</si>
  <si>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</si>
  <si>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</si>
  <si>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</si>
  <si>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</si>
  <si>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</si>
  <si>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</si>
  <si>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</si>
  <si>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</si>
  <si>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</si>
  <si>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</si>
  <si>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</si>
  <si>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</si>
  <si>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</si>
  <si>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</si>
  <si>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</si>
  <si>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</si>
  <si>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</si>
  <si>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</si>
  <si>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</si>
  <si>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</si>
  <si>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</si>
  <si>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</si>
  <si>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</si>
  <si>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</si>
  <si>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</si>
  <si>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</si>
  <si>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</si>
  <si>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</si>
  <si>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</si>
  <si>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</si>
  <si>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</si>
  <si>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</si>
  <si>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</si>
  <si>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</si>
  <si>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</si>
  <si>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</si>
  <si>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</si>
  <si>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</si>
  <si>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</si>
  <si>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</si>
  <si>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</si>
  <si>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</si>
  <si>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</si>
  <si>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</si>
  <si>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</si>
  <si>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</si>
  <si>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</si>
  <si>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</si>
  <si>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</si>
  <si>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</si>
  <si>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</si>
  <si>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</si>
  <si>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</si>
  <si>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</si>
  <si>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</si>
  <si>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</si>
  <si>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</si>
  <si>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</si>
  <si>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</si>
  <si>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</si>
  <si>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</si>
  <si>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</si>
  <si>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</si>
  <si>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</si>
  <si>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</si>
  <si>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</si>
  <si>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</si>
  <si>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</si>
  <si>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</si>
  <si>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</si>
  <si>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</si>
  <si>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</si>
  <si>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</si>
  <si>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</si>
  <si>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</si>
  <si>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</si>
  <si>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</si>
  <si>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</si>
  <si>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</si>
  <si>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</si>
  <si>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</si>
  <si>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</si>
  <si>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</si>
  <si>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</si>
  <si>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</si>
  <si>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</si>
  <si>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</si>
  <si>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</si>
  <si>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</si>
  <si>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</si>
  <si>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</si>
  <si>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</si>
  <si>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</si>
  <si>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</si>
  <si>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</si>
  <si>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</si>
  <si>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</si>
  <si>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</si>
  <si>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</si>
  <si>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</si>
  <si>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</si>
  <si>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</si>
  <si>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</si>
  <si>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</si>
  <si>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</si>
  <si>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</si>
  <si>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</si>
  <si>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</si>
  <si>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</si>
  <si>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</si>
  <si>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</si>
  <si>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</si>
  <si>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</si>
  <si>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</si>
  <si>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</si>
  <si>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</si>
  <si>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</si>
  <si>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</si>
  <si>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</si>
  <si>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</si>
  <si>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</si>
  <si>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</si>
  <si>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</si>
  <si>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</si>
  <si>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</si>
  <si>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</si>
  <si>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</si>
  <si>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</si>
  <si>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</si>
  <si>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</si>
  <si>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</si>
  <si>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</si>
  <si>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</si>
  <si>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</si>
  <si>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</si>
  <si>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</si>
  <si>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</si>
  <si>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</si>
  <si>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</si>
  <si>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</si>
  <si>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</si>
  <si>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</si>
  <si>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</si>
  <si>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</si>
  <si>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</si>
  <si>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</si>
  <si>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</si>
  <si>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</si>
  <si>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</si>
  <si>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</si>
  <si>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</si>
  <si>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</si>
  <si>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</si>
  <si>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</si>
  <si>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</si>
  <si>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</si>
  <si>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</si>
  <si>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</si>
  <si>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</si>
  <si>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</si>
  <si>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</si>
  <si>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</si>
  <si>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</si>
  <si>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</si>
  <si>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</si>
  <si>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</si>
  <si>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</si>
  <si>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</si>
  <si>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</si>
  <si>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</si>
  <si>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</si>
  <si>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</si>
  <si>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</si>
  <si>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</si>
  <si>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</si>
  <si>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</si>
  <si>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</si>
  <si>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</si>
  <si>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</si>
  <si>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</si>
  <si>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</si>
  <si>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</si>
  <si>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</si>
  <si>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</si>
  <si>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</si>
  <si>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</si>
  <si>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</si>
  <si>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</si>
  <si>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</si>
  <si>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</si>
  <si>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</si>
  <si>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</si>
  <si>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</si>
  <si>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</si>
  <si>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</si>
  <si>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</si>
  <si>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</si>
  <si>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</si>
  <si>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</si>
  <si>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</si>
  <si>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</si>
  <si>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</si>
  <si>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</si>
  <si>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</si>
  <si>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</si>
  <si>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</si>
  <si>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</si>
  <si>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</si>
  <si>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</si>
  <si>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</si>
  <si>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</si>
  <si>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</si>
  <si>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</si>
  <si>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</si>
  <si>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</si>
  <si>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</si>
  <si>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</si>
  <si>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</si>
  <si>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</si>
  <si>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</si>
  <si>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</si>
  <si>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</si>
  <si>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</si>
  <si>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</si>
  <si>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</si>
  <si>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</si>
  <si>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</si>
  <si>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</si>
  <si>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</si>
  <si>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</si>
  <si>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</si>
  <si>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</si>
  <si>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</si>
  <si>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</si>
  <si>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</si>
  <si>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</si>
  <si>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</si>
  <si>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</si>
  <si>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</si>
  <si>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</si>
  <si>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</si>
  <si>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</si>
  <si>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</si>
  <si>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</si>
  <si>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</si>
  <si>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</si>
  <si>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</si>
  <si>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</si>
  <si>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</si>
  <si>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</si>
  <si>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</si>
  <si>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</si>
  <si>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</si>
  <si>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</si>
  <si>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</si>
  <si>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</si>
  <si>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</si>
  <si>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</si>
  <si>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</si>
  <si>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</si>
  <si>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</si>
  <si>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</si>
  <si>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</si>
  <si>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</si>
  <si>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</si>
  <si>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</si>
  <si>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</si>
  <si>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</si>
  <si>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</si>
  <si>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</si>
  <si>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</si>
  <si>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</si>
  <si>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</si>
  <si>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</si>
  <si>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</si>
  <si>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</si>
  <si>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</si>
  <si>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</si>
  <si>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</si>
  <si>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</si>
  <si>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</si>
  <si>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</si>
  <si>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</si>
  <si>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</si>
  <si>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</si>
  <si>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</si>
  <si>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</si>
  <si>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</si>
  <si>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</si>
  <si>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</si>
  <si>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</si>
  <si>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</si>
  <si>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</si>
  <si>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</si>
  <si>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</si>
  <si>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</si>
  <si>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</si>
  <si>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</si>
  <si>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</si>
  <si>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</si>
  <si>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</si>
  <si>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</si>
  <si>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</si>
  <si>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</si>
  <si>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</si>
  <si>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</si>
  <si>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</si>
  <si>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</si>
  <si>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</si>
  <si>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</si>
  <si>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</si>
  <si>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</si>
  <si>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</si>
  <si>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</si>
  <si>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</si>
  <si>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</si>
  <si>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</si>
  <si>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</si>
  <si>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</si>
  <si>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</si>
  <si>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</si>
  <si>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</si>
  <si>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</si>
  <si>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</si>
  <si>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</si>
  <si>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</si>
  <si>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</si>
  <si>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</si>
  <si>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</si>
  <si>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</si>
  <si>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</si>
  <si>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</si>
  <si>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</si>
  <si>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</si>
  <si>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</si>
  <si>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</si>
  <si>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</si>
  <si>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</si>
  <si>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</si>
  <si>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</si>
  <si>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</si>
  <si>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</si>
  <si>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</si>
  <si>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</si>
  <si>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</si>
  <si>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</si>
  <si>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</si>
  <si>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</si>
  <si>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</si>
  <si>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</si>
  <si>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</si>
  <si>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</si>
  <si>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</si>
  <si>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</si>
  <si>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</si>
  <si>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</si>
  <si>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</si>
  <si>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</si>
  <si>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</si>
  <si>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</si>
  <si>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</si>
  <si>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</si>
  <si>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</si>
  <si>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</si>
  <si>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</si>
  <si>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</si>
  <si>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</si>
  <si>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</si>
  <si>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</si>
  <si>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</si>
  <si>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</si>
  <si>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</si>
  <si>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</si>
  <si>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</si>
  <si>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</si>
  <si>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</si>
  <si>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</si>
  <si>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</si>
  <si>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</si>
  <si>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</si>
  <si>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</si>
  <si>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</si>
  <si>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</si>
  <si>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</si>
  <si>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</si>
  <si>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</si>
  <si>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</si>
  <si>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</si>
  <si>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</si>
  <si>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</si>
  <si>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</si>
  <si>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</si>
  <si>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</si>
  <si>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</si>
  <si>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</si>
  <si>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</si>
  <si>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</si>
  <si>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</si>
  <si>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Count of Item Identifier</t>
  </si>
  <si>
    <t>Average of Rating</t>
  </si>
  <si>
    <t>Average Sales</t>
  </si>
  <si>
    <t>Total Sales</t>
  </si>
  <si>
    <t>No of Items</t>
  </si>
  <si>
    <t>Avg Rating</t>
  </si>
  <si>
    <t>KPI's Requirements</t>
  </si>
  <si>
    <t>Row Labels</t>
  </si>
  <si>
    <t>Total sales by fat content</t>
  </si>
  <si>
    <t>Column Labels</t>
  </si>
  <si>
    <t>Total sales by Item Type</t>
  </si>
  <si>
    <t>Fat content by outlet for total sales</t>
  </si>
  <si>
    <t>Total sales by outlet establishment</t>
  </si>
  <si>
    <t>Sales by Outlet size</t>
  </si>
  <si>
    <t>Outlet location</t>
  </si>
  <si>
    <t>Sales by outlet location</t>
  </si>
  <si>
    <t>All Metric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</si>
</sst>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9" formatCode="&quot;$&quot;0"/>
    <numFmt numFmtId="170" formatCode="0.0"/>
    <numFmt numFmtId="171" formatCode="&quot;$&quot;0.00,,&quot;M&quot;"/>
    <numFmt numFmtId="172" formatCode="&quot;$&quot;0.0,&quot;K&quot;"/>
    <numFmt numFmtId="173"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4" xfId="0" applyBorder="1"/>
    <xf numFmtId="0" fontId="0" fillId="0" borderId="0" xfId="0" applyBorder="1"/>
    <xf numFmtId="0" fontId="0" fillId="0" borderId="15" xfId="0" applyBorder="1"/>
    <xf numFmtId="169" fontId="0" fillId="0" borderId="17" xfId="0" applyNumberFormat="1" applyBorder="1"/>
    <xf numFmtId="0" fontId="0" fillId="0" borderId="17" xfId="0" applyBorder="1"/>
    <xf numFmtId="170" fontId="0" fillId="0" borderId="18" xfId="0" applyNumberFormat="1" applyBorder="1"/>
    <xf numFmtId="0" fontId="16" fillId="33" borderId="19" xfId="0" applyFont="1"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71"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4" xfId="0" applyBorder="1" applyAlignment="1">
      <alignment horizontal="left"/>
    </xf>
    <xf numFmtId="0" fontId="0" fillId="0" borderId="16" xfId="0" applyBorder="1"/>
    <xf numFmtId="0" fontId="0" fillId="0" borderId="18" xfId="0"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0" xfId="0" pivotButton="1" applyBorder="1"/>
    <xf numFmtId="0" fontId="0" fillId="0" borderId="22" xfId="0" applyBorder="1" applyAlignment="1">
      <alignment horizontal="left"/>
    </xf>
    <xf numFmtId="0" fontId="0" fillId="0" borderId="10" xfId="0" applyBorder="1"/>
    <xf numFmtId="172" fontId="0" fillId="0" borderId="22" xfId="0" applyNumberFormat="1" applyBorder="1"/>
    <xf numFmtId="172" fontId="0" fillId="0" borderId="23" xfId="0" applyNumberFormat="1" applyBorder="1"/>
    <xf numFmtId="172" fontId="0" fillId="0" borderId="11" xfId="0" applyNumberFormat="1" applyBorder="1"/>
    <xf numFmtId="172" fontId="0" fillId="0" borderId="13" xfId="0" applyNumberFormat="1" applyBorder="1"/>
    <xf numFmtId="172" fontId="0" fillId="0" borderId="16" xfId="0" applyNumberFormat="1" applyBorder="1"/>
    <xf numFmtId="172" fontId="0" fillId="0" borderId="18" xfId="0" applyNumberFormat="1" applyBorder="1"/>
    <xf numFmtId="172" fontId="0" fillId="0" borderId="15" xfId="0" applyNumberFormat="1" applyBorder="1"/>
    <xf numFmtId="172" fontId="0" fillId="0" borderId="14" xfId="0" applyNumberFormat="1" applyBorder="1"/>
    <xf numFmtId="172" fontId="0" fillId="0" borderId="24" xfId="0" applyNumberFormat="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172" fontId="0" fillId="0" borderId="0" xfId="0" applyNumberFormat="1" applyBorder="1"/>
    <xf numFmtId="173" fontId="0" fillId="0" borderId="22" xfId="0" applyNumberFormat="1" applyBorder="1"/>
    <xf numFmtId="173" fontId="0" fillId="0" borderId="24" xfId="0" applyNumberFormat="1" applyBorder="1"/>
    <xf numFmtId="173"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7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D8496C5B-961E-4AA7-AE2C-835189F80CA8}">
      <tableStyleElement type="wholeTable" dxfId="1581"/>
      <tableStyleElement type="headerRow" dxfId="1580"/>
    </tableStyle>
  </tableStyles>
  <colors>
    <mruColors>
      <color rgb="FFFFD200"/>
      <color rgb="FFF8A010"/>
      <color rgb="FFCC00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!PivotTable25</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78502080443831E-2"/>
          <c:y val="7.3092442626166404E-2"/>
          <c:w val="0.66552578985879196"/>
          <c:h val="0.85381511474766725"/>
        </c:manualLayout>
      </c:layout>
      <c:doughnutChart>
        <c:varyColors val="1"/>
        <c:ser>
          <c:idx val="0"/>
          <c:order val="0"/>
          <c:tx>
            <c:strRef>
              <c:f>'Sheet Design '!$B$21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 '!$A$22:$A$23</c:f>
              <c:strCache>
                <c:ptCount val="2"/>
                <c:pt idx="0">
                  <c:v>Low Fat</c:v>
                </c:pt>
                <c:pt idx="1">
                  <c:v>Regular</c:v>
                </c:pt>
              </c:strCache>
            </c:strRef>
          </c:cat>
          <c:val>
            <c:numRef>
              <c:f>'Sheet Design '!$B$22:$B$23</c:f>
              <c:numCache>
                <c:formatCode>"$"0.0,"K"</c:formatCode>
                <c:ptCount val="2"/>
                <c:pt idx="0">
                  <c:v>776319.68840000057</c:v>
                </c:pt>
                <c:pt idx="1">
                  <c:v>425361.8043999995</c:v>
                </c:pt>
              </c:numCache>
            </c:numRef>
          </c:val>
          <c:extLst>
            <c:ext xmlns:c16="http://schemas.microsoft.com/office/drawing/2014/chart" uri="{C3380CC4-5D6E-409C-BE32-E72D297353CC}">
              <c16:uniqueId val="{00000000-D60A-48FE-B99C-D94C4647AD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'!$B$35:$B$36</c:f>
              <c:strCache>
                <c:ptCount val="1"/>
                <c:pt idx="0">
                  <c:v>Regular</c:v>
                </c:pt>
              </c:strCache>
            </c:strRef>
          </c:tx>
          <c:spPr>
            <a:solidFill>
              <a:schemeClr val="accent1"/>
            </a:solidFill>
            <a:ln>
              <a:noFill/>
            </a:ln>
            <a:effectLst/>
          </c:spPr>
          <c:invertIfNegative val="0"/>
          <c:cat>
            <c:strRef>
              <c:f>'Sheet Design '!$A$37:$A$39</c:f>
              <c:strCache>
                <c:ptCount val="3"/>
                <c:pt idx="0">
                  <c:v>Tier 1</c:v>
                </c:pt>
                <c:pt idx="1">
                  <c:v>Tier 2</c:v>
                </c:pt>
                <c:pt idx="2">
                  <c:v>Tier 3</c:v>
                </c:pt>
              </c:strCache>
            </c:strRef>
          </c:cat>
          <c:val>
            <c:numRef>
              <c:f>'Sheet Design '!$B$37:$B$39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16D-4684-8B56-CB931F6870AA}"/>
            </c:ext>
          </c:extLst>
        </c:ser>
        <c:ser>
          <c:idx val="1"/>
          <c:order val="1"/>
          <c:tx>
            <c:strRef>
              <c:f>'Sheet Design '!$C$35:$C$36</c:f>
              <c:strCache>
                <c:ptCount val="1"/>
                <c:pt idx="0">
                  <c:v>Low Fat</c:v>
                </c:pt>
              </c:strCache>
            </c:strRef>
          </c:tx>
          <c:spPr>
            <a:solidFill>
              <a:schemeClr val="accent2"/>
            </a:solidFill>
            <a:ln>
              <a:noFill/>
            </a:ln>
            <a:effectLst/>
          </c:spPr>
          <c:invertIfNegative val="0"/>
          <c:cat>
            <c:strRef>
              <c:f>'Sheet Design '!$A$37:$A$39</c:f>
              <c:strCache>
                <c:ptCount val="3"/>
                <c:pt idx="0">
                  <c:v>Tier 1</c:v>
                </c:pt>
                <c:pt idx="1">
                  <c:v>Tier 2</c:v>
                </c:pt>
                <c:pt idx="2">
                  <c:v>Tier 3</c:v>
                </c:pt>
              </c:strCache>
            </c:strRef>
          </c:cat>
          <c:val>
            <c:numRef>
              <c:f>'Sheet Design '!$C$37:$C$39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416D-4684-8B56-CB931F6870AA}"/>
            </c:ext>
          </c:extLst>
        </c:ser>
        <c:dLbls>
          <c:showLegendKey val="0"/>
          <c:showVal val="0"/>
          <c:showCatName val="0"/>
          <c:showSerName val="0"/>
          <c:showPercent val="0"/>
          <c:showBubbleSize val="0"/>
        </c:dLbls>
        <c:gapWidth val="182"/>
        <c:axId val="1637775408"/>
        <c:axId val="1637787888"/>
      </c:barChart>
      <c:catAx>
        <c:axId val="163777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87888"/>
        <c:crosses val="autoZero"/>
        <c:auto val="1"/>
        <c:lblAlgn val="ctr"/>
        <c:lblOffset val="100"/>
        <c:noMultiLvlLbl val="0"/>
      </c:catAx>
      <c:valAx>
        <c:axId val="1637787888"/>
        <c:scaling>
          <c:orientation val="minMax"/>
        </c:scaling>
        <c:delete val="1"/>
        <c:axPos val="b"/>
        <c:numFmt formatCode="&quot;$&quot;0.0,&quot;K&quot;" sourceLinked="1"/>
        <c:majorTickMark val="none"/>
        <c:minorTickMark val="none"/>
        <c:tickLblPos val="nextTo"/>
        <c:crossAx val="16377754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'!$B$49</c:f>
              <c:strCache>
                <c:ptCount val="1"/>
                <c:pt idx="0">
                  <c:v>Total</c:v>
                </c:pt>
              </c:strCache>
            </c:strRef>
          </c:tx>
          <c:spPr>
            <a:solidFill>
              <a:schemeClr val="accent1"/>
            </a:solidFill>
            <a:ln>
              <a:noFill/>
            </a:ln>
            <a:effectLst/>
          </c:spPr>
          <c:invertIfNegative val="0"/>
          <c:cat>
            <c:strRef>
              <c:f>'Sheet Design '!$A$50:$A$65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 '!$B$50:$B$65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E6A-4AE4-A381-18D14B9180E9}"/>
            </c:ext>
          </c:extLst>
        </c:ser>
        <c:dLbls>
          <c:showLegendKey val="0"/>
          <c:showVal val="0"/>
          <c:showCatName val="0"/>
          <c:showSerName val="0"/>
          <c:showPercent val="0"/>
          <c:showBubbleSize val="0"/>
        </c:dLbls>
        <c:gapWidth val="182"/>
        <c:axId val="1668977903"/>
        <c:axId val="1668978383"/>
      </c:barChart>
      <c:catAx>
        <c:axId val="166897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978383"/>
        <c:crosses val="autoZero"/>
        <c:auto val="1"/>
        <c:lblAlgn val="ctr"/>
        <c:lblOffset val="100"/>
        <c:noMultiLvlLbl val="0"/>
      </c:catAx>
      <c:valAx>
        <c:axId val="1668978383"/>
        <c:scaling>
          <c:orientation val="minMax"/>
        </c:scaling>
        <c:delete val="1"/>
        <c:axPos val="b"/>
        <c:numFmt formatCode="&quot;$&quot;0.0,&quot;K&quot;" sourceLinked="1"/>
        <c:majorTickMark val="none"/>
        <c:minorTickMark val="none"/>
        <c:tickLblPos val="nextTo"/>
        <c:crossAx val="166897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 '!$B$71</c:f>
              <c:strCache>
                <c:ptCount val="1"/>
                <c:pt idx="0">
                  <c:v>Total</c:v>
                </c:pt>
              </c:strCache>
            </c:strRef>
          </c:tx>
          <c:spPr>
            <a:solidFill>
              <a:schemeClr val="accent1"/>
            </a:solidFill>
            <a:ln>
              <a:noFill/>
            </a:ln>
            <a:effectLst/>
          </c:spPr>
          <c:cat>
            <c:strRef>
              <c:f>'Sheet Design '!$A$72:$A$80</c:f>
              <c:strCache>
                <c:ptCount val="9"/>
                <c:pt idx="0">
                  <c:v>2011</c:v>
                </c:pt>
                <c:pt idx="1">
                  <c:v>2012</c:v>
                </c:pt>
                <c:pt idx="2">
                  <c:v>2014</c:v>
                </c:pt>
                <c:pt idx="3">
                  <c:v>2015</c:v>
                </c:pt>
                <c:pt idx="4">
                  <c:v>2016</c:v>
                </c:pt>
                <c:pt idx="5">
                  <c:v>2017</c:v>
                </c:pt>
                <c:pt idx="6">
                  <c:v>2018</c:v>
                </c:pt>
                <c:pt idx="7">
                  <c:v>2020</c:v>
                </c:pt>
                <c:pt idx="8">
                  <c:v>2022</c:v>
                </c:pt>
              </c:strCache>
            </c:strRef>
          </c:cat>
          <c:val>
            <c:numRef>
              <c:f>'Sheet Design '!$B$72:$B$80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1CB-4F63-9FB8-A5D263F545F9}"/>
            </c:ext>
          </c:extLst>
        </c:ser>
        <c:dLbls>
          <c:showLegendKey val="0"/>
          <c:showVal val="0"/>
          <c:showCatName val="0"/>
          <c:showSerName val="0"/>
          <c:showPercent val="0"/>
          <c:showBubbleSize val="0"/>
        </c:dLbls>
        <c:axId val="2059444815"/>
        <c:axId val="2059448175"/>
      </c:areaChart>
      <c:catAx>
        <c:axId val="2059444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48175"/>
        <c:crosses val="autoZero"/>
        <c:auto val="1"/>
        <c:lblAlgn val="ctr"/>
        <c:lblOffset val="100"/>
        <c:noMultiLvlLbl val="0"/>
      </c:catAx>
      <c:valAx>
        <c:axId val="2059448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44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!PivotTable29</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 '!$B$92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 '!$A$93:$A$95</c:f>
              <c:strCache>
                <c:ptCount val="3"/>
                <c:pt idx="0">
                  <c:v>High</c:v>
                </c:pt>
                <c:pt idx="1">
                  <c:v>Medium</c:v>
                </c:pt>
                <c:pt idx="2">
                  <c:v>Small</c:v>
                </c:pt>
              </c:strCache>
            </c:strRef>
          </c:cat>
          <c:val>
            <c:numRef>
              <c:f>'Sheet Design '!$B$93:$B$95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94B-40C8-8864-B63DB3623B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!PivotTable35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'!$B$121</c:f>
              <c:strCache>
                <c:ptCount val="1"/>
                <c:pt idx="0">
                  <c:v>Total</c:v>
                </c:pt>
              </c:strCache>
            </c:strRef>
          </c:tx>
          <c:spPr>
            <a:solidFill>
              <a:schemeClr val="accent1"/>
            </a:solidFill>
            <a:ln>
              <a:noFill/>
            </a:ln>
            <a:effectLst/>
          </c:spPr>
          <c:invertIfNegative val="0"/>
          <c:cat>
            <c:strRef>
              <c:f>'Sheet Design '!$A$122:$A$125</c:f>
              <c:strCache>
                <c:ptCount val="4"/>
                <c:pt idx="0">
                  <c:v>Grocery Store</c:v>
                </c:pt>
                <c:pt idx="1">
                  <c:v>Supermarket Type3</c:v>
                </c:pt>
                <c:pt idx="2">
                  <c:v>Supermarket Type2</c:v>
                </c:pt>
                <c:pt idx="3">
                  <c:v>Supermarket Type1</c:v>
                </c:pt>
              </c:strCache>
            </c:strRef>
          </c:cat>
          <c:val>
            <c:numRef>
              <c:f>'Sheet Design '!$B$122:$B$125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521-400B-9040-5A4F38BA83CD}"/>
            </c:ext>
          </c:extLst>
        </c:ser>
        <c:dLbls>
          <c:showLegendKey val="0"/>
          <c:showVal val="0"/>
          <c:showCatName val="0"/>
          <c:showSerName val="0"/>
          <c:showPercent val="0"/>
          <c:showBubbleSize val="0"/>
        </c:dLbls>
        <c:gapWidth val="182"/>
        <c:axId val="1373179471"/>
        <c:axId val="1373179951"/>
      </c:barChart>
      <c:catAx>
        <c:axId val="137317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79951"/>
        <c:crosses val="autoZero"/>
        <c:auto val="1"/>
        <c:lblAlgn val="ctr"/>
        <c:lblOffset val="100"/>
        <c:noMultiLvlLbl val="0"/>
      </c:catAx>
      <c:valAx>
        <c:axId val="1373179951"/>
        <c:scaling>
          <c:orientation val="minMax"/>
        </c:scaling>
        <c:delete val="1"/>
        <c:axPos val="b"/>
        <c:numFmt formatCode="&quot;$&quot;0.0,&quot;K&quot;" sourceLinked="1"/>
        <c:majorTickMark val="none"/>
        <c:minorTickMark val="none"/>
        <c:tickLblPos val="nextTo"/>
        <c:crossAx val="137317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!PivotTable36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59424958243856"/>
          <c:y val="0.13784461152882205"/>
          <c:w val="0.42072417084228109"/>
          <c:h val="0.80512995086140549"/>
        </c:manualLayout>
      </c:layout>
      <c:barChart>
        <c:barDir val="bar"/>
        <c:grouping val="clustered"/>
        <c:varyColors val="0"/>
        <c:ser>
          <c:idx val="0"/>
          <c:order val="0"/>
          <c:tx>
            <c:strRef>
              <c:f>'Sheet Design '!$B$128</c:f>
              <c:strCache>
                <c:ptCount val="1"/>
                <c:pt idx="0">
                  <c:v>Total</c:v>
                </c:pt>
              </c:strCache>
            </c:strRef>
          </c:tx>
          <c:spPr>
            <a:solidFill>
              <a:schemeClr val="accent1"/>
            </a:solidFill>
            <a:ln>
              <a:noFill/>
            </a:ln>
            <a:effectLst/>
          </c:spPr>
          <c:invertIfNegative val="0"/>
          <c:cat>
            <c:strRef>
              <c:f>'Sheet Design '!$A$129:$A$132</c:f>
              <c:strCache>
                <c:ptCount val="4"/>
                <c:pt idx="0">
                  <c:v>Grocery Store</c:v>
                </c:pt>
                <c:pt idx="1">
                  <c:v>Supermarket Type3</c:v>
                </c:pt>
                <c:pt idx="2">
                  <c:v>Supermarket Type2</c:v>
                </c:pt>
                <c:pt idx="3">
                  <c:v>Supermarket Type1</c:v>
                </c:pt>
              </c:strCache>
            </c:strRef>
          </c:cat>
          <c:val>
            <c:numRef>
              <c:f>'Sheet Design '!$B$129:$B$132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EAD-4E59-94E6-F5ABE4C3C1B2}"/>
            </c:ext>
          </c:extLst>
        </c:ser>
        <c:dLbls>
          <c:showLegendKey val="0"/>
          <c:showVal val="0"/>
          <c:showCatName val="0"/>
          <c:showSerName val="0"/>
          <c:showPercent val="0"/>
          <c:showBubbleSize val="0"/>
        </c:dLbls>
        <c:gapWidth val="182"/>
        <c:axId val="1381427183"/>
        <c:axId val="1381426223"/>
      </c:barChart>
      <c:catAx>
        <c:axId val="138142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426223"/>
        <c:crosses val="autoZero"/>
        <c:auto val="1"/>
        <c:lblAlgn val="ctr"/>
        <c:lblOffset val="100"/>
        <c:noMultiLvlLbl val="0"/>
      </c:catAx>
      <c:valAx>
        <c:axId val="1381426223"/>
        <c:scaling>
          <c:orientation val="minMax"/>
        </c:scaling>
        <c:delete val="1"/>
        <c:axPos val="b"/>
        <c:numFmt formatCode="\$0" sourceLinked="1"/>
        <c:majorTickMark val="none"/>
        <c:minorTickMark val="none"/>
        <c:tickLblPos val="nextTo"/>
        <c:crossAx val="138142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!PivotTable37</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'!$B$135</c:f>
              <c:strCache>
                <c:ptCount val="1"/>
                <c:pt idx="0">
                  <c:v>Total</c:v>
                </c:pt>
              </c:strCache>
            </c:strRef>
          </c:tx>
          <c:spPr>
            <a:solidFill>
              <a:schemeClr val="accent1"/>
            </a:solidFill>
            <a:ln>
              <a:noFill/>
            </a:ln>
            <a:effectLst/>
          </c:spPr>
          <c:invertIfNegative val="0"/>
          <c:cat>
            <c:strRef>
              <c:f>'Sheet Design '!$A$136:$A$139</c:f>
              <c:strCache>
                <c:ptCount val="4"/>
                <c:pt idx="0">
                  <c:v>Grocery Store</c:v>
                </c:pt>
                <c:pt idx="1">
                  <c:v>Supermarket Type3</c:v>
                </c:pt>
                <c:pt idx="2">
                  <c:v>Supermarket Type2</c:v>
                </c:pt>
                <c:pt idx="3">
                  <c:v>Supermarket Type1</c:v>
                </c:pt>
              </c:strCache>
            </c:strRef>
          </c:cat>
          <c:val>
            <c:numRef>
              <c:f>'Sheet Design '!$B$136:$B$139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744-4700-B552-18A3ABEF1F7E}"/>
            </c:ext>
          </c:extLst>
        </c:ser>
        <c:dLbls>
          <c:showLegendKey val="0"/>
          <c:showVal val="0"/>
          <c:showCatName val="0"/>
          <c:showSerName val="0"/>
          <c:showPercent val="0"/>
          <c:showBubbleSize val="0"/>
        </c:dLbls>
        <c:gapWidth val="182"/>
        <c:axId val="1668983663"/>
        <c:axId val="1668979343"/>
      </c:barChart>
      <c:catAx>
        <c:axId val="1668983663"/>
        <c:scaling>
          <c:orientation val="minMax"/>
        </c:scaling>
        <c:delete val="1"/>
        <c:axPos val="l"/>
        <c:numFmt formatCode="General" sourceLinked="1"/>
        <c:majorTickMark val="none"/>
        <c:minorTickMark val="none"/>
        <c:tickLblPos val="nextTo"/>
        <c:crossAx val="1668979343"/>
        <c:crosses val="autoZero"/>
        <c:auto val="1"/>
        <c:lblAlgn val="ctr"/>
        <c:lblOffset val="100"/>
        <c:noMultiLvlLbl val="0"/>
      </c:catAx>
      <c:valAx>
        <c:axId val="1668979343"/>
        <c:scaling>
          <c:orientation val="minMax"/>
        </c:scaling>
        <c:delete val="1"/>
        <c:axPos val="b"/>
        <c:numFmt formatCode="0" sourceLinked="1"/>
        <c:majorTickMark val="none"/>
        <c:minorTickMark val="none"/>
        <c:tickLblPos val="nextTo"/>
        <c:crossAx val="166898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473090277777788"/>
              <c:y val="0.2629797979797979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dLbl>
          <c:idx val="0"/>
          <c:layout>
            <c:manualLayout>
              <c:x val="-8.819444444444445E-2"/>
              <c:y val="-0.2950505050505051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572135416666667"/>
          <c:y val="0.1538070707070707"/>
          <c:w val="0.66552578985879196"/>
          <c:h val="0.85381511474766725"/>
        </c:manualLayout>
      </c:layout>
      <c:doughnutChart>
        <c:varyColors val="1"/>
        <c:ser>
          <c:idx val="0"/>
          <c:order val="0"/>
          <c:tx>
            <c:strRef>
              <c:f>'Sheet Design '!$B$21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3CF-49DF-8409-AAAF1DAF8AD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43CF-49DF-8409-AAAF1DAF8AD6}"/>
              </c:ext>
            </c:extLst>
          </c:dPt>
          <c:dLbls>
            <c:dLbl>
              <c:idx val="0"/>
              <c:layout>
                <c:manualLayout>
                  <c:x val="0.10473090277777788"/>
                  <c:y val="0.2629797979797979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3CF-49DF-8409-AAAF1DAF8AD6}"/>
                </c:ext>
              </c:extLst>
            </c:dLbl>
            <c:dLbl>
              <c:idx val="1"/>
              <c:layout>
                <c:manualLayout>
                  <c:x val="-8.819444444444445E-2"/>
                  <c:y val="-0.2950505050505051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CF-49DF-8409-AAAF1DAF8AD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 '!$A$22:$A$23</c:f>
              <c:strCache>
                <c:ptCount val="2"/>
                <c:pt idx="0">
                  <c:v>Low Fat</c:v>
                </c:pt>
                <c:pt idx="1">
                  <c:v>Regular</c:v>
                </c:pt>
              </c:strCache>
            </c:strRef>
          </c:cat>
          <c:val>
            <c:numRef>
              <c:f>'Sheet Design '!$B$22:$B$23</c:f>
              <c:numCache>
                <c:formatCode>"$"0.0,"K"</c:formatCode>
                <c:ptCount val="2"/>
                <c:pt idx="0">
                  <c:v>776319.68840000057</c:v>
                </c:pt>
                <c:pt idx="1">
                  <c:v>425361.8043999995</c:v>
                </c:pt>
              </c:numCache>
            </c:numRef>
          </c:val>
          <c:extLst>
            <c:ext xmlns:c16="http://schemas.microsoft.com/office/drawing/2014/chart" uri="{C3380CC4-5D6E-409C-BE32-E72D297353CC}">
              <c16:uniqueId val="{00000004-43CF-49DF-8409-AAAF1DAF8AD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'!$B$35:$B$36</c:f>
              <c:strCache>
                <c:ptCount val="1"/>
                <c:pt idx="0">
                  <c:v>Regular</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'!$A$37:$A$39</c:f>
              <c:strCache>
                <c:ptCount val="3"/>
                <c:pt idx="0">
                  <c:v>Tier 1</c:v>
                </c:pt>
                <c:pt idx="1">
                  <c:v>Tier 2</c:v>
                </c:pt>
                <c:pt idx="2">
                  <c:v>Tier 3</c:v>
                </c:pt>
              </c:strCache>
            </c:strRef>
          </c:cat>
          <c:val>
            <c:numRef>
              <c:f>'Sheet Design '!$B$37:$B$39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350-49D0-81C6-CC7184DCF098}"/>
            </c:ext>
          </c:extLst>
        </c:ser>
        <c:ser>
          <c:idx val="1"/>
          <c:order val="1"/>
          <c:tx>
            <c:strRef>
              <c:f>'Sheet Design '!$C$35:$C$36</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'!$A$37:$A$39</c:f>
              <c:strCache>
                <c:ptCount val="3"/>
                <c:pt idx="0">
                  <c:v>Tier 1</c:v>
                </c:pt>
                <c:pt idx="1">
                  <c:v>Tier 2</c:v>
                </c:pt>
                <c:pt idx="2">
                  <c:v>Tier 3</c:v>
                </c:pt>
              </c:strCache>
            </c:strRef>
          </c:cat>
          <c:val>
            <c:numRef>
              <c:f>'Sheet Design '!$C$37:$C$39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4350-49D0-81C6-CC7184DCF098}"/>
            </c:ext>
          </c:extLst>
        </c:ser>
        <c:dLbls>
          <c:showLegendKey val="0"/>
          <c:showVal val="0"/>
          <c:showCatName val="0"/>
          <c:showSerName val="0"/>
          <c:showPercent val="0"/>
          <c:showBubbleSize val="0"/>
        </c:dLbls>
        <c:gapWidth val="60"/>
        <c:axId val="1637775408"/>
        <c:axId val="1637787888"/>
      </c:barChart>
      <c:catAx>
        <c:axId val="163777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37787888"/>
        <c:crosses val="autoZero"/>
        <c:auto val="1"/>
        <c:lblAlgn val="ctr"/>
        <c:lblOffset val="100"/>
        <c:noMultiLvlLbl val="0"/>
      </c:catAx>
      <c:valAx>
        <c:axId val="1637787888"/>
        <c:scaling>
          <c:orientation val="minMax"/>
        </c:scaling>
        <c:delete val="1"/>
        <c:axPos val="b"/>
        <c:numFmt formatCode="&quot;$&quot;0.0,&quot;K&quot;" sourceLinked="1"/>
        <c:majorTickMark val="none"/>
        <c:minorTickMark val="none"/>
        <c:tickLblPos val="nextTo"/>
        <c:crossAx val="16377754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'!$B$49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'!$A$50:$A$65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 '!$B$50:$B$65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7BD-44D8-958A-8931EA6A51C8}"/>
            </c:ext>
          </c:extLst>
        </c:ser>
        <c:dLbls>
          <c:showLegendKey val="0"/>
          <c:showVal val="0"/>
          <c:showCatName val="0"/>
          <c:showSerName val="0"/>
          <c:showPercent val="0"/>
          <c:showBubbleSize val="0"/>
        </c:dLbls>
        <c:gapWidth val="50"/>
        <c:axId val="1668977903"/>
        <c:axId val="1668978383"/>
      </c:barChart>
      <c:catAx>
        <c:axId val="166897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68978383"/>
        <c:crosses val="autoZero"/>
        <c:auto val="1"/>
        <c:lblAlgn val="ctr"/>
        <c:lblOffset val="100"/>
        <c:noMultiLvlLbl val="0"/>
      </c:catAx>
      <c:valAx>
        <c:axId val="1668978383"/>
        <c:scaling>
          <c:orientation val="minMax"/>
        </c:scaling>
        <c:delete val="1"/>
        <c:axPos val="b"/>
        <c:numFmt formatCode="&quot;$&quot;0.0,&quot;K&quot;" sourceLinked="1"/>
        <c:majorTickMark val="none"/>
        <c:minorTickMark val="none"/>
        <c:tickLblPos val="nextTo"/>
        <c:crossAx val="166897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!PivotTable28</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1000"/>
            </a:srgbClr>
          </a:solidFill>
          <a:ln w="25400">
            <a:solidFill>
              <a:schemeClr val="tx1"/>
            </a:solidFill>
          </a:ln>
          <a:effectLst>
            <a:innerShdw dist="12700" dir="16200000">
              <a:schemeClr val="lt1">
                <a:alpha val="75000"/>
              </a:schemeClr>
            </a:innerShdw>
          </a:effectLst>
        </c:spPr>
        <c:marker>
          <c:symbol val="circle"/>
          <c:size val="5"/>
          <c:spPr>
            <a:solidFill>
              <a:srgbClr val="FFD200">
                <a:alpha val="91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7.832898172323759E-3"/>
              <c:y val="-0.167105263157894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0"/>
              <c:y val="-0.21661793372319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0"/>
              <c:y val="-0.225901803118908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720729425793056E-2"/>
                  <c:h val="9.8839668615984394E-2"/>
                </c:manualLayout>
              </c15:layout>
            </c:ext>
          </c:extLst>
        </c:dLbl>
      </c:pivotFmt>
      <c:pivotFmt>
        <c:idx val="6"/>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0"/>
              <c:y val="-0.22280701754385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2.6109660574412533E-3"/>
              <c:y val="-0.22899610136452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9.5734316175189502E-17"/>
              <c:y val="-0.23518518518518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0"/>
              <c:y val="-0.29707602339181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2.6109660574411575E-3"/>
              <c:y val="-0.253752436647173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2.6109660574414446E-3"/>
              <c:y val="-0.216617933723196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 '!$B$71</c:f>
              <c:strCache>
                <c:ptCount val="1"/>
                <c:pt idx="0">
                  <c:v>Total</c:v>
                </c:pt>
              </c:strCache>
            </c:strRef>
          </c:tx>
          <c:spPr>
            <a:solidFill>
              <a:srgbClr val="FFD200">
                <a:alpha val="91000"/>
              </a:srgbClr>
            </a:solidFill>
            <a:ln w="25400">
              <a:solidFill>
                <a:schemeClr val="tx1"/>
              </a:solidFill>
            </a:ln>
            <a:effectLst>
              <a:innerShdw dist="12700" dir="16200000">
                <a:schemeClr val="lt1">
                  <a:alpha val="75000"/>
                </a:schemeClr>
              </a:innerShdw>
            </a:effectLst>
          </c:spPr>
          <c:dLbls>
            <c:dLbl>
              <c:idx val="0"/>
              <c:layout>
                <c:manualLayout>
                  <c:x val="-7.832898172323759E-3"/>
                  <c:y val="-0.167105263157894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2D-4CD6-B357-05E3B7A163EF}"/>
                </c:ext>
              </c:extLst>
            </c:dLbl>
            <c:dLbl>
              <c:idx val="1"/>
              <c:layout>
                <c:manualLayout>
                  <c:x val="0"/>
                  <c:y val="-0.216617933723196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2D-4CD6-B357-05E3B7A163EF}"/>
                </c:ext>
              </c:extLst>
            </c:dLbl>
            <c:dLbl>
              <c:idx val="2"/>
              <c:layout>
                <c:manualLayout>
                  <c:x val="0"/>
                  <c:y val="-0.225901803118908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720729425793056E-2"/>
                      <c:h val="9.8839668615984394E-2"/>
                    </c:manualLayout>
                  </c15:layout>
                </c:ext>
                <c:ext xmlns:c16="http://schemas.microsoft.com/office/drawing/2014/chart" uri="{C3380CC4-5D6E-409C-BE32-E72D297353CC}">
                  <c16:uniqueId val="{00000003-0C2D-4CD6-B357-05E3B7A163EF}"/>
                </c:ext>
              </c:extLst>
            </c:dLbl>
            <c:dLbl>
              <c:idx val="3"/>
              <c:layout>
                <c:manualLayout>
                  <c:x val="0"/>
                  <c:y val="-0.22280701754385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2D-4CD6-B357-05E3B7A163EF}"/>
                </c:ext>
              </c:extLst>
            </c:dLbl>
            <c:dLbl>
              <c:idx val="4"/>
              <c:layout>
                <c:manualLayout>
                  <c:x val="2.6109660574412533E-3"/>
                  <c:y val="-0.22899610136452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2D-4CD6-B357-05E3B7A163EF}"/>
                </c:ext>
              </c:extLst>
            </c:dLbl>
            <c:dLbl>
              <c:idx val="5"/>
              <c:layout>
                <c:manualLayout>
                  <c:x val="-9.5734316175189502E-17"/>
                  <c:y val="-0.235185185185185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2D-4CD6-B357-05E3B7A163EF}"/>
                </c:ext>
              </c:extLst>
            </c:dLbl>
            <c:dLbl>
              <c:idx val="6"/>
              <c:layout>
                <c:manualLayout>
                  <c:x val="0"/>
                  <c:y val="-0.297076023391812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2D-4CD6-B357-05E3B7A163EF}"/>
                </c:ext>
              </c:extLst>
            </c:dLbl>
            <c:dLbl>
              <c:idx val="7"/>
              <c:layout>
                <c:manualLayout>
                  <c:x val="2.6109660574411575E-3"/>
                  <c:y val="-0.253752436647173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C2D-4CD6-B357-05E3B7A163EF}"/>
                </c:ext>
              </c:extLst>
            </c:dLbl>
            <c:dLbl>
              <c:idx val="8"/>
              <c:layout>
                <c:manualLayout>
                  <c:x val="-2.6109660574414446E-3"/>
                  <c:y val="-0.216617933723196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C2D-4CD6-B357-05E3B7A163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 '!$A$72:$A$80</c:f>
              <c:strCache>
                <c:ptCount val="9"/>
                <c:pt idx="0">
                  <c:v>2011</c:v>
                </c:pt>
                <c:pt idx="1">
                  <c:v>2012</c:v>
                </c:pt>
                <c:pt idx="2">
                  <c:v>2014</c:v>
                </c:pt>
                <c:pt idx="3">
                  <c:v>2015</c:v>
                </c:pt>
                <c:pt idx="4">
                  <c:v>2016</c:v>
                </c:pt>
                <c:pt idx="5">
                  <c:v>2017</c:v>
                </c:pt>
                <c:pt idx="6">
                  <c:v>2018</c:v>
                </c:pt>
                <c:pt idx="7">
                  <c:v>2020</c:v>
                </c:pt>
                <c:pt idx="8">
                  <c:v>2022</c:v>
                </c:pt>
              </c:strCache>
            </c:strRef>
          </c:cat>
          <c:val>
            <c:numRef>
              <c:f>'Sheet Design '!$B$72:$B$80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C2D-4CD6-B357-05E3B7A163EF}"/>
            </c:ext>
          </c:extLst>
        </c:ser>
        <c:dLbls>
          <c:showLegendKey val="0"/>
          <c:showVal val="0"/>
          <c:showCatName val="0"/>
          <c:showSerName val="0"/>
          <c:showPercent val="0"/>
          <c:showBubbleSize val="0"/>
        </c:dLbls>
        <c:dropLines>
          <c:spPr>
            <a:ln w="9525" cap="flat" cmpd="sng" algn="ctr">
              <a:solidFill>
                <a:schemeClr val="bg1">
                  <a:lumMod val="75000"/>
                  <a:alpha val="39000"/>
                </a:schemeClr>
              </a:solidFill>
              <a:round/>
            </a:ln>
            <a:effectLst/>
          </c:spPr>
        </c:dropLines>
        <c:axId val="2059444815"/>
        <c:axId val="2059448175"/>
      </c:areaChart>
      <c:catAx>
        <c:axId val="20594448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2059448175"/>
        <c:crosses val="autoZero"/>
        <c:auto val="1"/>
        <c:lblAlgn val="ctr"/>
        <c:lblOffset val="100"/>
        <c:noMultiLvlLbl val="0"/>
      </c:catAx>
      <c:valAx>
        <c:axId val="2059448175"/>
        <c:scaling>
          <c:orientation val="minMax"/>
        </c:scaling>
        <c:delete val="1"/>
        <c:axPos val="l"/>
        <c:numFmt formatCode="&quot;$&quot;0.0,&quot;K&quot;" sourceLinked="1"/>
        <c:majorTickMark val="out"/>
        <c:minorTickMark val="none"/>
        <c:tickLblPos val="nextTo"/>
        <c:crossAx val="20594448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!PivotTable29</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AC2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0888157894736842"/>
              <c:y val="-4.519774011299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21816520467836276"/>
              <c:y val="-1.0357695789575588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6710526315789476"/>
              <c:y val="-0.1468926553672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465862573099415"/>
          <c:y val="0.15800702878241912"/>
          <c:w val="0.66392141812865502"/>
          <c:h val="0.80808265492237197"/>
        </c:manualLayout>
      </c:layout>
      <c:doughnutChart>
        <c:varyColors val="1"/>
        <c:ser>
          <c:idx val="0"/>
          <c:order val="0"/>
          <c:tx>
            <c:strRef>
              <c:f>'Sheet Design '!$B$92</c:f>
              <c:strCache>
                <c:ptCount val="1"/>
                <c:pt idx="0">
                  <c:v>Total</c:v>
                </c:pt>
              </c:strCache>
            </c:strRef>
          </c:tx>
          <c:spPr>
            <a:solidFill>
              <a:srgbClr val="D0AC2C"/>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244-4D32-BE63-59BE9C0EB13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244-4D32-BE63-59BE9C0EB13D}"/>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5244-4D32-BE63-59BE9C0EB13D}"/>
              </c:ext>
            </c:extLst>
          </c:dPt>
          <c:dLbls>
            <c:dLbl>
              <c:idx val="0"/>
              <c:layout>
                <c:manualLayout>
                  <c:x val="0.20888157894736842"/>
                  <c:y val="-4.51977401129943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44-4D32-BE63-59BE9C0EB13D}"/>
                </c:ext>
              </c:extLst>
            </c:dLbl>
            <c:dLbl>
              <c:idx val="1"/>
              <c:layout>
                <c:manualLayout>
                  <c:x val="0.21816520467836276"/>
                  <c:y val="-1.0357695789575588E-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44-4D32-BE63-59BE9C0EB13D}"/>
                </c:ext>
              </c:extLst>
            </c:dLbl>
            <c:dLbl>
              <c:idx val="2"/>
              <c:layout>
                <c:manualLayout>
                  <c:x val="-0.16710526315789476"/>
                  <c:y val="-0.14689265536723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44-4D32-BE63-59BE9C0EB1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 '!$A$93:$A$95</c:f>
              <c:strCache>
                <c:ptCount val="3"/>
                <c:pt idx="0">
                  <c:v>High</c:v>
                </c:pt>
                <c:pt idx="1">
                  <c:v>Medium</c:v>
                </c:pt>
                <c:pt idx="2">
                  <c:v>Small</c:v>
                </c:pt>
              </c:strCache>
            </c:strRef>
          </c:cat>
          <c:val>
            <c:numRef>
              <c:f>'Sheet Design '!$B$93:$B$95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244-4D32-BE63-59BE9C0EB1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5571710526315791"/>
          <c:y val="5.0847457627118647E-2"/>
          <c:w val="0.59845374802603812"/>
          <c:h val="0.116825372612840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!PivotTable35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72836104988979"/>
          <c:y val="6.7072410066388755E-2"/>
          <c:w val="0.54327172925408196"/>
          <c:h val="0.86551727789376087"/>
        </c:manualLayout>
      </c:layout>
      <c:barChart>
        <c:barDir val="bar"/>
        <c:grouping val="clustered"/>
        <c:varyColors val="0"/>
        <c:ser>
          <c:idx val="0"/>
          <c:order val="0"/>
          <c:tx>
            <c:strRef>
              <c:f>'Sheet Design '!$B$121</c:f>
              <c:strCache>
                <c:ptCount val="1"/>
                <c:pt idx="0">
                  <c:v>Total</c:v>
                </c:pt>
              </c:strCache>
            </c:strRef>
          </c:tx>
          <c:spPr>
            <a:solidFill>
              <a:srgbClr val="C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'!$A$122:$A$125</c:f>
              <c:strCache>
                <c:ptCount val="4"/>
                <c:pt idx="0">
                  <c:v>Grocery Store</c:v>
                </c:pt>
                <c:pt idx="1">
                  <c:v>Supermarket Type3</c:v>
                </c:pt>
                <c:pt idx="2">
                  <c:v>Supermarket Type2</c:v>
                </c:pt>
                <c:pt idx="3">
                  <c:v>Supermarket Type1</c:v>
                </c:pt>
              </c:strCache>
            </c:strRef>
          </c:cat>
          <c:val>
            <c:numRef>
              <c:f>'Sheet Design '!$B$122:$B$125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72A-4C4E-99C0-2FE5D2ECD1D2}"/>
            </c:ext>
          </c:extLst>
        </c:ser>
        <c:dLbls>
          <c:showLegendKey val="0"/>
          <c:showVal val="0"/>
          <c:showCatName val="0"/>
          <c:showSerName val="0"/>
          <c:showPercent val="0"/>
          <c:showBubbleSize val="0"/>
        </c:dLbls>
        <c:gapWidth val="60"/>
        <c:axId val="1373179471"/>
        <c:axId val="1373179951"/>
      </c:barChart>
      <c:catAx>
        <c:axId val="137317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79951"/>
        <c:crosses val="autoZero"/>
        <c:auto val="1"/>
        <c:lblAlgn val="ctr"/>
        <c:lblOffset val="100"/>
        <c:noMultiLvlLbl val="0"/>
      </c:catAx>
      <c:valAx>
        <c:axId val="1373179951"/>
        <c:scaling>
          <c:orientation val="minMax"/>
        </c:scaling>
        <c:delete val="1"/>
        <c:axPos val="b"/>
        <c:numFmt formatCode="&quot;$&quot;0.0,&quot;K&quot;" sourceLinked="1"/>
        <c:majorTickMark val="none"/>
        <c:minorTickMark val="none"/>
        <c:tickLblPos val="nextTo"/>
        <c:crossAx val="137317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!PivotTable36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56487767794597E-2"/>
          <c:y val="7.3703282828282826E-2"/>
          <c:w val="0.87396186141837728"/>
          <c:h val="0.86125378787878792"/>
        </c:manualLayout>
      </c:layout>
      <c:barChart>
        <c:barDir val="bar"/>
        <c:grouping val="clustered"/>
        <c:varyColors val="0"/>
        <c:ser>
          <c:idx val="0"/>
          <c:order val="0"/>
          <c:tx>
            <c:strRef>
              <c:f>'Sheet Design '!$B$128</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'!$A$129:$A$132</c:f>
              <c:strCache>
                <c:ptCount val="4"/>
                <c:pt idx="0">
                  <c:v>Grocery Store</c:v>
                </c:pt>
                <c:pt idx="1">
                  <c:v>Supermarket Type3</c:v>
                </c:pt>
                <c:pt idx="2">
                  <c:v>Supermarket Type2</c:v>
                </c:pt>
                <c:pt idx="3">
                  <c:v>Supermarket Type1</c:v>
                </c:pt>
              </c:strCache>
            </c:strRef>
          </c:cat>
          <c:val>
            <c:numRef>
              <c:f>'Sheet Design '!$B$129:$B$132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36C-4A41-8C78-5CC6A61BF07B}"/>
            </c:ext>
          </c:extLst>
        </c:ser>
        <c:dLbls>
          <c:showLegendKey val="0"/>
          <c:showVal val="0"/>
          <c:showCatName val="0"/>
          <c:showSerName val="0"/>
          <c:showPercent val="0"/>
          <c:showBubbleSize val="0"/>
        </c:dLbls>
        <c:gapWidth val="60"/>
        <c:axId val="1381427183"/>
        <c:axId val="1381426223"/>
      </c:barChart>
      <c:catAx>
        <c:axId val="1381427183"/>
        <c:scaling>
          <c:orientation val="minMax"/>
        </c:scaling>
        <c:delete val="1"/>
        <c:axPos val="l"/>
        <c:numFmt formatCode="General" sourceLinked="1"/>
        <c:majorTickMark val="none"/>
        <c:minorTickMark val="none"/>
        <c:tickLblPos val="nextTo"/>
        <c:crossAx val="1381426223"/>
        <c:crosses val="autoZero"/>
        <c:auto val="1"/>
        <c:lblAlgn val="ctr"/>
        <c:lblOffset val="100"/>
        <c:noMultiLvlLbl val="0"/>
      </c:catAx>
      <c:valAx>
        <c:axId val="1381426223"/>
        <c:scaling>
          <c:orientation val="minMax"/>
        </c:scaling>
        <c:delete val="1"/>
        <c:axPos val="b"/>
        <c:numFmt formatCode="\$0" sourceLinked="1"/>
        <c:majorTickMark val="none"/>
        <c:minorTickMark val="none"/>
        <c:tickLblPos val="nextTo"/>
        <c:crossAx val="138142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 !PivotTable37</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A0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62954714179656E-2"/>
          <c:y val="9.2957767097209071E-2"/>
          <c:w val="0.83667409057164066"/>
          <c:h val="0.86478870240405958"/>
        </c:manualLayout>
      </c:layout>
      <c:barChart>
        <c:barDir val="bar"/>
        <c:grouping val="clustered"/>
        <c:varyColors val="0"/>
        <c:ser>
          <c:idx val="0"/>
          <c:order val="0"/>
          <c:tx>
            <c:strRef>
              <c:f>'Sheet Design '!$B$135</c:f>
              <c:strCache>
                <c:ptCount val="1"/>
                <c:pt idx="0">
                  <c:v>Total</c:v>
                </c:pt>
              </c:strCache>
            </c:strRef>
          </c:tx>
          <c:spPr>
            <a:solidFill>
              <a:srgbClr val="F8A01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'!$A$136:$A$139</c:f>
              <c:strCache>
                <c:ptCount val="4"/>
                <c:pt idx="0">
                  <c:v>Grocery Store</c:v>
                </c:pt>
                <c:pt idx="1">
                  <c:v>Supermarket Type3</c:v>
                </c:pt>
                <c:pt idx="2">
                  <c:v>Supermarket Type2</c:v>
                </c:pt>
                <c:pt idx="3">
                  <c:v>Supermarket Type1</c:v>
                </c:pt>
              </c:strCache>
            </c:strRef>
          </c:cat>
          <c:val>
            <c:numRef>
              <c:f>'Sheet Design '!$B$136:$B$139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F62-43C7-82F2-6AA14B0C9008}"/>
            </c:ext>
          </c:extLst>
        </c:ser>
        <c:dLbls>
          <c:dLblPos val="outEnd"/>
          <c:showLegendKey val="0"/>
          <c:showVal val="1"/>
          <c:showCatName val="0"/>
          <c:showSerName val="0"/>
          <c:showPercent val="0"/>
          <c:showBubbleSize val="0"/>
        </c:dLbls>
        <c:gapWidth val="60"/>
        <c:axId val="1668983663"/>
        <c:axId val="1668979343"/>
      </c:barChart>
      <c:catAx>
        <c:axId val="1668983663"/>
        <c:scaling>
          <c:orientation val="minMax"/>
        </c:scaling>
        <c:delete val="1"/>
        <c:axPos val="l"/>
        <c:numFmt formatCode="General" sourceLinked="1"/>
        <c:majorTickMark val="none"/>
        <c:minorTickMark val="none"/>
        <c:tickLblPos val="nextTo"/>
        <c:crossAx val="1668979343"/>
        <c:crosses val="autoZero"/>
        <c:auto val="1"/>
        <c:lblAlgn val="ctr"/>
        <c:lblOffset val="100"/>
        <c:noMultiLvlLbl val="0"/>
      </c:catAx>
      <c:valAx>
        <c:axId val="1668979343"/>
        <c:scaling>
          <c:orientation val="minMax"/>
        </c:scaling>
        <c:delete val="1"/>
        <c:axPos val="b"/>
        <c:numFmt formatCode="0" sourceLinked="1"/>
        <c:majorTickMark val="none"/>
        <c:minorTickMark val="none"/>
        <c:tickLblPos val="nextTo"/>
        <c:crossAx val="166898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C6E669F-C5E3-42EE-8A37-45B2EB93C7D4}">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2C6E669F-C5E3-42EE-8A37-45B2EB93C7D4}">
          <cx:tx>
            <cx:txData>
              <cx:f>_xlchart.v2.7</cx:f>
              <cx:v>Sales</cx:v>
            </cx:txData>
          </cx:tx>
          <cx:spPr>
            <a:solidFill>
              <a:srgbClr val="D09E00"/>
            </a:solidFill>
          </cx:spPr>
          <cx:dataPt idx="1">
            <cx:spPr>
              <a:solidFill>
                <a:srgbClr val="FFFF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jpe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 '!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246846</xdr:colOff>
      <xdr:row>2</xdr:row>
      <xdr:rowOff>36706</xdr:rowOff>
    </xdr:from>
    <xdr:to>
      <xdr:col>11</xdr:col>
      <xdr:colOff>81245</xdr:colOff>
      <xdr:row>8</xdr:row>
      <xdr:rowOff>83822</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A9BE8CA4-9D14-9A96-9A9F-E149EE386E5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7577071" y="444537"/>
              <a:ext cx="1830625" cy="1227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308610</xdr:colOff>
      <xdr:row>20</xdr:row>
      <xdr:rowOff>7620</xdr:rowOff>
    </xdr:from>
    <xdr:to>
      <xdr:col>4</xdr:col>
      <xdr:colOff>662940</xdr:colOff>
      <xdr:row>30</xdr:row>
      <xdr:rowOff>152400</xdr:rowOff>
    </xdr:to>
    <xdr:graphicFrame macro="">
      <xdr:nvGraphicFramePr>
        <xdr:cNvPr id="4" name="Chart 3">
          <a:extLst>
            <a:ext uri="{FF2B5EF4-FFF2-40B4-BE49-F238E27FC236}">
              <a16:creationId xmlns:a16="http://schemas.microsoft.com/office/drawing/2014/main" id="{7B16C464-73DA-5E42-67AC-0D06D1417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255270</xdr:colOff>
      <xdr:row>34</xdr:row>
      <xdr:rowOff>0</xdr:rowOff>
    </xdr:from>
    <xdr:to>
      <xdr:col>7</xdr:col>
      <xdr:colOff>137160</xdr:colOff>
      <xdr:row>42</xdr:row>
      <xdr:rowOff>182880</xdr:rowOff>
    </xdr:to>
    <xdr:graphicFrame macro="">
      <xdr:nvGraphicFramePr>
        <xdr:cNvPr id="5" name="Chart 4">
          <a:extLst>
            <a:ext uri="{FF2B5EF4-FFF2-40B4-BE49-F238E27FC236}">
              <a16:creationId xmlns:a16="http://schemas.microsoft.com/office/drawing/2014/main" id="{FA735E7C-4C91-46CD-D85B-DE58E2161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232410</xdr:colOff>
      <xdr:row>47</xdr:row>
      <xdr:rowOff>68580</xdr:rowOff>
    </xdr:from>
    <xdr:to>
      <xdr:col>9</xdr:col>
      <xdr:colOff>255270</xdr:colOff>
      <xdr:row>61</xdr:row>
      <xdr:rowOff>22860</xdr:rowOff>
    </xdr:to>
    <xdr:graphicFrame macro="">
      <xdr:nvGraphicFramePr>
        <xdr:cNvPr id="6" name="Chart 5">
          <a:extLst>
            <a:ext uri="{FF2B5EF4-FFF2-40B4-BE49-F238E27FC236}">
              <a16:creationId xmlns:a16="http://schemas.microsoft.com/office/drawing/2014/main" id="{CAA5317F-39AE-E8E0-19C6-FC28018FA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171450</xdr:colOff>
      <xdr:row>70</xdr:row>
      <xdr:rowOff>53340</xdr:rowOff>
    </xdr:from>
    <xdr:to>
      <xdr:col>9</xdr:col>
      <xdr:colOff>194310</xdr:colOff>
      <xdr:row>84</xdr:row>
      <xdr:rowOff>7620</xdr:rowOff>
    </xdr:to>
    <xdr:graphicFrame macro="">
      <xdr:nvGraphicFramePr>
        <xdr:cNvPr id="7" name="Chart 6">
          <a:extLst>
            <a:ext uri="{FF2B5EF4-FFF2-40B4-BE49-F238E27FC236}">
              <a16:creationId xmlns:a16="http://schemas.microsoft.com/office/drawing/2014/main" id="{0F75A064-CF80-C252-86F5-468FFB15E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514350</xdr:colOff>
      <xdr:row>91</xdr:row>
      <xdr:rowOff>7620</xdr:rowOff>
    </xdr:from>
    <xdr:to>
      <xdr:col>6</xdr:col>
      <xdr:colOff>441960</xdr:colOff>
      <xdr:row>97</xdr:row>
      <xdr:rowOff>38100</xdr:rowOff>
    </xdr:to>
    <xdr:graphicFrame macro="">
      <xdr:nvGraphicFramePr>
        <xdr:cNvPr id="8" name="Chart 7">
          <a:extLst>
            <a:ext uri="{FF2B5EF4-FFF2-40B4-BE49-F238E27FC236}">
              <a16:creationId xmlns:a16="http://schemas.microsoft.com/office/drawing/2014/main" id="{D8E9BAD7-70A1-A205-4713-7CB323914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171450</xdr:colOff>
      <xdr:row>106</xdr:row>
      <xdr:rowOff>15240</xdr:rowOff>
    </xdr:from>
    <xdr:to>
      <xdr:col>10</xdr:col>
      <xdr:colOff>335280</xdr:colOff>
      <xdr:row>114</xdr:row>
      <xdr:rowOff>179070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B615D538-81D5-D5F6-4D73-E787E0B823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08170" y="21267420"/>
              <a:ext cx="3516630" cy="1771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72390</xdr:colOff>
      <xdr:row>120</xdr:row>
      <xdr:rowOff>0</xdr:rowOff>
    </xdr:from>
    <xdr:to>
      <xdr:col>4</xdr:col>
      <xdr:colOff>556260</xdr:colOff>
      <xdr:row>125</xdr:row>
      <xdr:rowOff>15240</xdr:rowOff>
    </xdr:to>
    <xdr:graphicFrame macro="">
      <xdr:nvGraphicFramePr>
        <xdr:cNvPr id="11" name="Chart 10">
          <a:extLst>
            <a:ext uri="{FF2B5EF4-FFF2-40B4-BE49-F238E27FC236}">
              <a16:creationId xmlns:a16="http://schemas.microsoft.com/office/drawing/2014/main" id="{3A75022D-9397-2A2A-F2ED-CC281E1BB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53340</xdr:colOff>
      <xdr:row>126</xdr:row>
      <xdr:rowOff>198120</xdr:rowOff>
    </xdr:from>
    <xdr:to>
      <xdr:col>4</xdr:col>
      <xdr:colOff>533400</xdr:colOff>
      <xdr:row>131</xdr:row>
      <xdr:rowOff>91440</xdr:rowOff>
    </xdr:to>
    <xdr:graphicFrame macro="">
      <xdr:nvGraphicFramePr>
        <xdr:cNvPr id="12" name="Chart 11">
          <a:extLst>
            <a:ext uri="{FF2B5EF4-FFF2-40B4-BE49-F238E27FC236}">
              <a16:creationId xmlns:a16="http://schemas.microsoft.com/office/drawing/2014/main" id="{7921F9BD-2171-8D1D-8725-EFCEFED34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41910</xdr:colOff>
      <xdr:row>134</xdr:row>
      <xdr:rowOff>38100</xdr:rowOff>
    </xdr:from>
    <xdr:to>
      <xdr:col>4</xdr:col>
      <xdr:colOff>556260</xdr:colOff>
      <xdr:row>138</xdr:row>
      <xdr:rowOff>144780</xdr:rowOff>
    </xdr:to>
    <xdr:graphicFrame macro="">
      <xdr:nvGraphicFramePr>
        <xdr:cNvPr id="13" name="Chart 12">
          <a:extLst>
            <a:ext uri="{FF2B5EF4-FFF2-40B4-BE49-F238E27FC236}">
              <a16:creationId xmlns:a16="http://schemas.microsoft.com/office/drawing/2014/main" id="{D23B0424-EFB6-5AFE-C64A-073A6EA78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394952</xdr:colOff>
      <xdr:row>2</xdr:row>
      <xdr:rowOff>59244</xdr:rowOff>
    </xdr:from>
    <xdr:to>
      <xdr:col>14</xdr:col>
      <xdr:colOff>212072</xdr:colOff>
      <xdr:row>8</xdr:row>
      <xdr:rowOff>111189</xdr:rowOff>
    </xdr:to>
    <mc:AlternateContent xmlns:mc="http://schemas.openxmlformats.org/markup-compatibility/2006">
      <mc:Choice xmlns:a14="http://schemas.microsoft.com/office/drawing/2010/main" Requires="a14">
        <xdr:graphicFrame macro="">
          <xdr:nvGraphicFramePr>
            <xdr:cNvPr id="19" name="Outlet Location Type">
              <a:extLst>
                <a:ext uri="{FF2B5EF4-FFF2-40B4-BE49-F238E27FC236}">
                  <a16:creationId xmlns:a16="http://schemas.microsoft.com/office/drawing/2014/main" id="{1AC1F5CE-2BA9-DFB1-E3EE-FCC4C71856F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721403" y="467075"/>
              <a:ext cx="1813345" cy="1232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630528</xdr:colOff>
      <xdr:row>2</xdr:row>
      <xdr:rowOff>9766</xdr:rowOff>
    </xdr:from>
    <xdr:to>
      <xdr:col>17</xdr:col>
      <xdr:colOff>447649</xdr:colOff>
      <xdr:row>15</xdr:row>
      <xdr:rowOff>98872</xdr:rowOff>
    </xdr:to>
    <mc:AlternateContent xmlns:mc="http://schemas.openxmlformats.org/markup-compatibility/2006">
      <mc:Choice xmlns:a14="http://schemas.microsoft.com/office/drawing/2010/main" Requires="a14">
        <xdr:graphicFrame macro="">
          <xdr:nvGraphicFramePr>
            <xdr:cNvPr id="21" name="Item Type">
              <a:extLst>
                <a:ext uri="{FF2B5EF4-FFF2-40B4-BE49-F238E27FC236}">
                  <a16:creationId xmlns:a16="http://schemas.microsoft.com/office/drawing/2014/main" id="{D70E3924-C400-5192-29C5-B861E060575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953204" y="417597"/>
              <a:ext cx="1813346" cy="2632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387245</xdr:colOff>
      <xdr:row>2</xdr:row>
      <xdr:rowOff>99934</xdr:rowOff>
    </xdr:from>
    <xdr:to>
      <xdr:col>23</xdr:col>
      <xdr:colOff>328083</xdr:colOff>
      <xdr:row>37</xdr:row>
      <xdr:rowOff>169334</xdr:rowOff>
    </xdr:to>
    <xdr:sp macro="" textlink="">
      <xdr:nvSpPr>
        <xdr:cNvPr id="3" name="Rectangle 2">
          <a:extLst>
            <a:ext uri="{FF2B5EF4-FFF2-40B4-BE49-F238E27FC236}">
              <a16:creationId xmlns:a16="http://schemas.microsoft.com/office/drawing/2014/main" id="{9CA24833-09F7-76E8-6BE7-004465096DAD}"/>
            </a:ext>
          </a:extLst>
        </xdr:cNvPr>
        <xdr:cNvSpPr/>
      </xdr:nvSpPr>
      <xdr:spPr>
        <a:xfrm>
          <a:off x="1720745" y="502101"/>
          <a:ext cx="13942588" cy="7107316"/>
        </a:xfrm>
        <a:prstGeom prst="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640415</xdr:colOff>
      <xdr:row>3</xdr:row>
      <xdr:rowOff>84667</xdr:rowOff>
    </xdr:from>
    <xdr:to>
      <xdr:col>6</xdr:col>
      <xdr:colOff>105832</xdr:colOff>
      <xdr:row>37</xdr:row>
      <xdr:rowOff>15834</xdr:rowOff>
    </xdr:to>
    <xdr:sp macro="" textlink="">
      <xdr:nvSpPr>
        <xdr:cNvPr id="4" name="Rectangle: Top Corners Rounded 3">
          <a:extLst>
            <a:ext uri="{FF2B5EF4-FFF2-40B4-BE49-F238E27FC236}">
              <a16:creationId xmlns:a16="http://schemas.microsoft.com/office/drawing/2014/main" id="{085A21C9-C092-2068-499A-47CD88183800}"/>
            </a:ext>
          </a:extLst>
        </xdr:cNvPr>
        <xdr:cNvSpPr/>
      </xdr:nvSpPr>
      <xdr:spPr>
        <a:xfrm rot="5400000">
          <a:off x="-343876" y="3005708"/>
          <a:ext cx="6768000" cy="213241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84668</xdr:colOff>
      <xdr:row>4</xdr:row>
      <xdr:rowOff>95250</xdr:rowOff>
    </xdr:from>
    <xdr:to>
      <xdr:col>5</xdr:col>
      <xdr:colOff>582083</xdr:colOff>
      <xdr:row>7</xdr:row>
      <xdr:rowOff>190500</xdr:rowOff>
    </xdr:to>
    <xdr:sp macro="" textlink="">
      <xdr:nvSpPr>
        <xdr:cNvPr id="5" name="TextBox 4">
          <a:extLst>
            <a:ext uri="{FF2B5EF4-FFF2-40B4-BE49-F238E27FC236}">
              <a16:creationId xmlns:a16="http://schemas.microsoft.com/office/drawing/2014/main" id="{B028FA14-92D6-A723-0D2A-4BB405E8D336}"/>
            </a:ext>
          </a:extLst>
        </xdr:cNvPr>
        <xdr:cNvSpPr txBox="1"/>
      </xdr:nvSpPr>
      <xdr:spPr>
        <a:xfrm>
          <a:off x="2084918" y="899583"/>
          <a:ext cx="1830915"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74083</xdr:colOff>
      <xdr:row>7</xdr:row>
      <xdr:rowOff>127000</xdr:rowOff>
    </xdr:from>
    <xdr:to>
      <xdr:col>5</xdr:col>
      <xdr:colOff>571498</xdr:colOff>
      <xdr:row>8</xdr:row>
      <xdr:rowOff>158749</xdr:rowOff>
    </xdr:to>
    <xdr:sp macro="" textlink="">
      <xdr:nvSpPr>
        <xdr:cNvPr id="6" name="TextBox 5">
          <a:extLst>
            <a:ext uri="{FF2B5EF4-FFF2-40B4-BE49-F238E27FC236}">
              <a16:creationId xmlns:a16="http://schemas.microsoft.com/office/drawing/2014/main" id="{1FE23F71-83F7-4103-8BA4-A6025B296729}"/>
            </a:ext>
          </a:extLst>
        </xdr:cNvPr>
        <xdr:cNvSpPr txBox="1"/>
      </xdr:nvSpPr>
      <xdr:spPr>
        <a:xfrm>
          <a:off x="2074333" y="1534583"/>
          <a:ext cx="1830915"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rgbClr val="00B050"/>
            </a:solidFill>
            <a:latin typeface="Aptos Display" panose="020B0004020202020204" pitchFamily="34" charset="0"/>
            <a:ea typeface="Segoe UI Black" panose="020B0A02040204020203" pitchFamily="34" charset="0"/>
          </a:endParaRPr>
        </a:p>
      </xdr:txBody>
    </xdr:sp>
    <xdr:clientData/>
  </xdr:twoCellAnchor>
  <xdr:twoCellAnchor>
    <xdr:from>
      <xdr:col>6</xdr:col>
      <xdr:colOff>285749</xdr:colOff>
      <xdr:row>3</xdr:row>
      <xdr:rowOff>142875</xdr:rowOff>
    </xdr:from>
    <xdr:to>
      <xdr:col>14</xdr:col>
      <xdr:colOff>598166</xdr:colOff>
      <xdr:row>14</xdr:row>
      <xdr:rowOff>197333</xdr:rowOff>
    </xdr:to>
    <xdr:grpSp>
      <xdr:nvGrpSpPr>
        <xdr:cNvPr id="11" name="Group 10">
          <a:extLst>
            <a:ext uri="{FF2B5EF4-FFF2-40B4-BE49-F238E27FC236}">
              <a16:creationId xmlns:a16="http://schemas.microsoft.com/office/drawing/2014/main" id="{AE491BF4-B70F-30E0-4BB6-FA72B5EF12A8}"/>
            </a:ext>
          </a:extLst>
        </xdr:cNvPr>
        <xdr:cNvGrpSpPr/>
      </xdr:nvGrpSpPr>
      <xdr:grpSpPr>
        <a:xfrm>
          <a:off x="4319867" y="734546"/>
          <a:ext cx="5691240" cy="2223916"/>
          <a:chOff x="4286249" y="746125"/>
          <a:chExt cx="5646417" cy="2266375"/>
        </a:xfrm>
      </xdr:grpSpPr>
      <xdr:sp macro="" textlink="">
        <xdr:nvSpPr>
          <xdr:cNvPr id="7" name="Rectangle: Rounded Corners 6">
            <a:extLst>
              <a:ext uri="{FF2B5EF4-FFF2-40B4-BE49-F238E27FC236}">
                <a16:creationId xmlns:a16="http://schemas.microsoft.com/office/drawing/2014/main" id="{04D6B7C1-C15D-3D4A-3A0D-82641B329CD9}"/>
              </a:ext>
            </a:extLst>
          </xdr:cNvPr>
          <xdr:cNvSpPr/>
        </xdr:nvSpPr>
        <xdr:spPr>
          <a:xfrm>
            <a:off x="4286249" y="746125"/>
            <a:ext cx="2736000" cy="1044000"/>
          </a:xfrm>
          <a:prstGeom prst="roundRect">
            <a:avLst/>
          </a:prstGeom>
          <a:gradFill flip="none" rotWithShape="1">
            <a:gsLst>
              <a:gs pos="0">
                <a:srgbClr val="FFD200"/>
              </a:gs>
              <a:gs pos="100000">
                <a:srgbClr val="00B050">
                  <a:alpha val="45000"/>
                  <a:lumMod val="75000"/>
                </a:srgb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B328100-A48B-43A2-B4B2-E9F2BFF6A4A6}"/>
              </a:ext>
            </a:extLst>
          </xdr:cNvPr>
          <xdr:cNvSpPr/>
        </xdr:nvSpPr>
        <xdr:spPr>
          <a:xfrm>
            <a:off x="7196666" y="746125"/>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A093F5F-CE5B-473F-9577-5EA5FDBBE6EE}"/>
              </a:ext>
            </a:extLst>
          </xdr:cNvPr>
          <xdr:cNvSpPr/>
        </xdr:nvSpPr>
        <xdr:spPr>
          <a:xfrm>
            <a:off x="4286249" y="1968500"/>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155245A-3D84-42DC-841A-FF2738DDAB57}"/>
              </a:ext>
            </a:extLst>
          </xdr:cNvPr>
          <xdr:cNvSpPr/>
        </xdr:nvSpPr>
        <xdr:spPr>
          <a:xfrm>
            <a:off x="7196666" y="1968500"/>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508001</xdr:colOff>
      <xdr:row>4</xdr:row>
      <xdr:rowOff>50271</xdr:rowOff>
    </xdr:from>
    <xdr:to>
      <xdr:col>8</xdr:col>
      <xdr:colOff>539750</xdr:colOff>
      <xdr:row>6</xdr:row>
      <xdr:rowOff>60854</xdr:rowOff>
    </xdr:to>
    <xdr:sp macro="" textlink="'Sheet Design '!$A$9">
      <xdr:nvSpPr>
        <xdr:cNvPr id="12" name="TextBox 11">
          <a:extLst>
            <a:ext uri="{FF2B5EF4-FFF2-40B4-BE49-F238E27FC236}">
              <a16:creationId xmlns:a16="http://schemas.microsoft.com/office/drawing/2014/main" id="{5B7680D9-6EFA-AF29-AE59-EABB47DFF0A0}"/>
            </a:ext>
          </a:extLst>
        </xdr:cNvPr>
        <xdr:cNvSpPr txBox="1"/>
      </xdr:nvSpPr>
      <xdr:spPr>
        <a:xfrm>
          <a:off x="4508501" y="854604"/>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99A493-982A-409E-97CB-B98C47A2C28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539750</xdr:colOff>
      <xdr:row>6</xdr:row>
      <xdr:rowOff>42335</xdr:rowOff>
    </xdr:from>
    <xdr:to>
      <xdr:col>8</xdr:col>
      <xdr:colOff>571499</xdr:colOff>
      <xdr:row>8</xdr:row>
      <xdr:rowOff>52918</xdr:rowOff>
    </xdr:to>
    <xdr:sp macro="" textlink="'Sheet Design '!$A$9">
      <xdr:nvSpPr>
        <xdr:cNvPr id="13" name="TextBox 12">
          <a:extLst>
            <a:ext uri="{FF2B5EF4-FFF2-40B4-BE49-F238E27FC236}">
              <a16:creationId xmlns:a16="http://schemas.microsoft.com/office/drawing/2014/main" id="{C0504A3F-3A4F-43FC-ACF5-BBA7505EF376}"/>
            </a:ext>
          </a:extLst>
        </xdr:cNvPr>
        <xdr:cNvSpPr txBox="1"/>
      </xdr:nvSpPr>
      <xdr:spPr>
        <a:xfrm>
          <a:off x="4540250" y="1248835"/>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338665</xdr:colOff>
      <xdr:row>4</xdr:row>
      <xdr:rowOff>50271</xdr:rowOff>
    </xdr:from>
    <xdr:to>
      <xdr:col>13</xdr:col>
      <xdr:colOff>370414</xdr:colOff>
      <xdr:row>6</xdr:row>
      <xdr:rowOff>60854</xdr:rowOff>
    </xdr:to>
    <xdr:sp macro="" textlink="'Sheet Design '!B9">
      <xdr:nvSpPr>
        <xdr:cNvPr id="14" name="TextBox 13">
          <a:extLst>
            <a:ext uri="{FF2B5EF4-FFF2-40B4-BE49-F238E27FC236}">
              <a16:creationId xmlns:a16="http://schemas.microsoft.com/office/drawing/2014/main" id="{15712373-7CA0-41BE-BD2F-4FCA2CA4D3C2}"/>
            </a:ext>
          </a:extLst>
        </xdr:cNvPr>
        <xdr:cNvSpPr txBox="1"/>
      </xdr:nvSpPr>
      <xdr:spPr>
        <a:xfrm>
          <a:off x="7672915" y="854604"/>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DBB88A-E18C-4A50-A945-C4AB48BA9B3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406400</xdr:colOff>
      <xdr:row>6</xdr:row>
      <xdr:rowOff>35985</xdr:rowOff>
    </xdr:from>
    <xdr:to>
      <xdr:col>13</xdr:col>
      <xdr:colOff>438149</xdr:colOff>
      <xdr:row>8</xdr:row>
      <xdr:rowOff>46568</xdr:rowOff>
    </xdr:to>
    <xdr:sp macro="" textlink="'Sheet Design '!$A$9">
      <xdr:nvSpPr>
        <xdr:cNvPr id="15" name="TextBox 14">
          <a:extLst>
            <a:ext uri="{FF2B5EF4-FFF2-40B4-BE49-F238E27FC236}">
              <a16:creationId xmlns:a16="http://schemas.microsoft.com/office/drawing/2014/main" id="{5F7EFCB5-FB03-4302-BE17-113390ADBD9A}"/>
            </a:ext>
          </a:extLst>
        </xdr:cNvPr>
        <xdr:cNvSpPr txBox="1"/>
      </xdr:nvSpPr>
      <xdr:spPr>
        <a:xfrm>
          <a:off x="7740650" y="1242485"/>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639232</xdr:colOff>
      <xdr:row>10</xdr:row>
      <xdr:rowOff>77787</xdr:rowOff>
    </xdr:from>
    <xdr:to>
      <xdr:col>9</xdr:col>
      <xdr:colOff>4231</xdr:colOff>
      <xdr:row>12</xdr:row>
      <xdr:rowOff>88370</xdr:rowOff>
    </xdr:to>
    <xdr:sp macro="" textlink="'Sheet Design '!C9">
      <xdr:nvSpPr>
        <xdr:cNvPr id="16" name="TextBox 15">
          <a:extLst>
            <a:ext uri="{FF2B5EF4-FFF2-40B4-BE49-F238E27FC236}">
              <a16:creationId xmlns:a16="http://schemas.microsoft.com/office/drawing/2014/main" id="{F7BA2DC3-EC5C-4859-B4FD-E09AEE2ECEFF}"/>
            </a:ext>
          </a:extLst>
        </xdr:cNvPr>
        <xdr:cNvSpPr txBox="1"/>
      </xdr:nvSpPr>
      <xdr:spPr>
        <a:xfrm>
          <a:off x="4639732" y="2088620"/>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C98D0-D95A-4DD5-8C12-AC1BD10BEDF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664633</xdr:colOff>
      <xdr:row>12</xdr:row>
      <xdr:rowOff>71968</xdr:rowOff>
    </xdr:from>
    <xdr:to>
      <xdr:col>9</xdr:col>
      <xdr:colOff>29632</xdr:colOff>
      <xdr:row>14</xdr:row>
      <xdr:rowOff>82551</xdr:rowOff>
    </xdr:to>
    <xdr:sp macro="" textlink="'Sheet Design '!$A$9">
      <xdr:nvSpPr>
        <xdr:cNvPr id="17" name="TextBox 16">
          <a:extLst>
            <a:ext uri="{FF2B5EF4-FFF2-40B4-BE49-F238E27FC236}">
              <a16:creationId xmlns:a16="http://schemas.microsoft.com/office/drawing/2014/main" id="{4161D3FC-C074-4CC9-BDC4-9A8D48E80B04}"/>
            </a:ext>
          </a:extLst>
        </xdr:cNvPr>
        <xdr:cNvSpPr txBox="1"/>
      </xdr:nvSpPr>
      <xdr:spPr>
        <a:xfrm>
          <a:off x="4665133" y="2484968"/>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410632</xdr:colOff>
      <xdr:row>10</xdr:row>
      <xdr:rowOff>77787</xdr:rowOff>
    </xdr:from>
    <xdr:to>
      <xdr:col>13</xdr:col>
      <xdr:colOff>442381</xdr:colOff>
      <xdr:row>12</xdr:row>
      <xdr:rowOff>88370</xdr:rowOff>
    </xdr:to>
    <xdr:sp macro="" textlink="'Sheet Design '!D9">
      <xdr:nvSpPr>
        <xdr:cNvPr id="18" name="TextBox 17">
          <a:extLst>
            <a:ext uri="{FF2B5EF4-FFF2-40B4-BE49-F238E27FC236}">
              <a16:creationId xmlns:a16="http://schemas.microsoft.com/office/drawing/2014/main" id="{BB0BCB80-D410-4515-82E2-3E9F70804C9B}"/>
            </a:ext>
          </a:extLst>
        </xdr:cNvPr>
        <xdr:cNvSpPr txBox="1"/>
      </xdr:nvSpPr>
      <xdr:spPr>
        <a:xfrm>
          <a:off x="7744882" y="2088620"/>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36F149-FAE7-410F-BC52-311062DF6FE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467783</xdr:colOff>
      <xdr:row>12</xdr:row>
      <xdr:rowOff>44451</xdr:rowOff>
    </xdr:from>
    <xdr:to>
      <xdr:col>13</xdr:col>
      <xdr:colOff>499532</xdr:colOff>
      <xdr:row>14</xdr:row>
      <xdr:rowOff>55034</xdr:rowOff>
    </xdr:to>
    <xdr:sp macro="" textlink="'Sheet Design '!$A$9">
      <xdr:nvSpPr>
        <xdr:cNvPr id="20" name="TextBox 19">
          <a:extLst>
            <a:ext uri="{FF2B5EF4-FFF2-40B4-BE49-F238E27FC236}">
              <a16:creationId xmlns:a16="http://schemas.microsoft.com/office/drawing/2014/main" id="{42A63EBE-2057-49A8-ABB4-4329368F03CD}"/>
            </a:ext>
          </a:extLst>
        </xdr:cNvPr>
        <xdr:cNvSpPr txBox="1"/>
      </xdr:nvSpPr>
      <xdr:spPr>
        <a:xfrm>
          <a:off x="7802033" y="2457451"/>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AVG RATING</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14</xdr:col>
      <xdr:colOff>128892</xdr:colOff>
      <xdr:row>4</xdr:row>
      <xdr:rowOff>31751</xdr:rowOff>
    </xdr:from>
    <xdr:to>
      <xdr:col>14</xdr:col>
      <xdr:colOff>486834</xdr:colOff>
      <xdr:row>5</xdr:row>
      <xdr:rowOff>62387</xdr:rowOff>
    </xdr:to>
    <xdr:pic>
      <xdr:nvPicPr>
        <xdr:cNvPr id="21" name="Picture 20">
          <a:extLst>
            <a:ext uri="{FF2B5EF4-FFF2-40B4-BE49-F238E27FC236}">
              <a16:creationId xmlns:a16="http://schemas.microsoft.com/office/drawing/2014/main" id="{5FB8421C-DF24-B0E9-1199-2241F03367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63392" y="836084"/>
          <a:ext cx="357942" cy="231720"/>
        </a:xfrm>
        <a:prstGeom prst="rect">
          <a:avLst/>
        </a:prstGeom>
        <a:noFill/>
      </xdr:spPr>
    </xdr:pic>
    <xdr:clientData/>
  </xdr:twoCellAnchor>
  <xdr:twoCellAnchor editAs="oneCell">
    <xdr:from>
      <xdr:col>9</xdr:col>
      <xdr:colOff>603251</xdr:colOff>
      <xdr:row>10</xdr:row>
      <xdr:rowOff>10585</xdr:rowOff>
    </xdr:from>
    <xdr:to>
      <xdr:col>10</xdr:col>
      <xdr:colOff>254001</xdr:colOff>
      <xdr:row>11</xdr:row>
      <xdr:rowOff>127001</xdr:rowOff>
    </xdr:to>
    <xdr:pic>
      <xdr:nvPicPr>
        <xdr:cNvPr id="25" name="Picture 24">
          <a:extLst>
            <a:ext uri="{FF2B5EF4-FFF2-40B4-BE49-F238E27FC236}">
              <a16:creationId xmlns:a16="http://schemas.microsoft.com/office/drawing/2014/main" id="{48B23D54-DA87-92C5-1FC0-4F42A8CAAAD0}"/>
            </a:ext>
          </a:extLst>
        </xdr:cNvPr>
        <xdr:cNvPicPr>
          <a:picLocks noChangeAspect="1"/>
        </xdr:cNvPicPr>
      </xdr:nvPicPr>
      <xdr:blipFill>
        <a:blip xmlns:r="http://schemas.openxmlformats.org/officeDocument/2006/relationships" r:embed="rId2"/>
        <a:stretch>
          <a:fillRect/>
        </a:stretch>
      </xdr:blipFill>
      <xdr:spPr>
        <a:xfrm>
          <a:off x="6604001" y="2021418"/>
          <a:ext cx="317500" cy="317500"/>
        </a:xfrm>
        <a:prstGeom prst="rect">
          <a:avLst/>
        </a:prstGeom>
      </xdr:spPr>
    </xdr:pic>
    <xdr:clientData/>
  </xdr:twoCellAnchor>
  <xdr:twoCellAnchor editAs="oneCell">
    <xdr:from>
      <xdr:col>14</xdr:col>
      <xdr:colOff>178482</xdr:colOff>
      <xdr:row>10</xdr:row>
      <xdr:rowOff>21167</xdr:rowOff>
    </xdr:from>
    <xdr:to>
      <xdr:col>14</xdr:col>
      <xdr:colOff>508000</xdr:colOff>
      <xdr:row>11</xdr:row>
      <xdr:rowOff>149601</xdr:rowOff>
    </xdr:to>
    <xdr:pic>
      <xdr:nvPicPr>
        <xdr:cNvPr id="26" name="Picture 25">
          <a:extLst>
            <a:ext uri="{FF2B5EF4-FFF2-40B4-BE49-F238E27FC236}">
              <a16:creationId xmlns:a16="http://schemas.microsoft.com/office/drawing/2014/main" id="{EA6D0040-E10B-2D2F-7BB6-93D566C34897}"/>
            </a:ext>
          </a:extLst>
        </xdr:cNvPr>
        <xdr:cNvPicPr>
          <a:picLocks noChangeAspect="1"/>
        </xdr:cNvPicPr>
      </xdr:nvPicPr>
      <xdr:blipFill>
        <a:blip xmlns:r="http://schemas.openxmlformats.org/officeDocument/2006/relationships" r:embed="rId3"/>
        <a:stretch>
          <a:fillRect/>
        </a:stretch>
      </xdr:blipFill>
      <xdr:spPr>
        <a:xfrm>
          <a:off x="9512982" y="2032000"/>
          <a:ext cx="329518" cy="329518"/>
        </a:xfrm>
        <a:prstGeom prst="rect">
          <a:avLst/>
        </a:prstGeom>
      </xdr:spPr>
    </xdr:pic>
    <xdr:clientData/>
  </xdr:twoCellAnchor>
  <xdr:twoCellAnchor editAs="oneCell">
    <xdr:from>
      <xdr:col>9</xdr:col>
      <xdr:colOff>582084</xdr:colOff>
      <xdr:row>4</xdr:row>
      <xdr:rowOff>21167</xdr:rowOff>
    </xdr:from>
    <xdr:to>
      <xdr:col>10</xdr:col>
      <xdr:colOff>254001</xdr:colOff>
      <xdr:row>5</xdr:row>
      <xdr:rowOff>111050</xdr:rowOff>
    </xdr:to>
    <xdr:pic>
      <xdr:nvPicPr>
        <xdr:cNvPr id="27" name="Picture 26">
          <a:extLst>
            <a:ext uri="{FF2B5EF4-FFF2-40B4-BE49-F238E27FC236}">
              <a16:creationId xmlns:a16="http://schemas.microsoft.com/office/drawing/2014/main" id="{81CA701F-186E-E734-4FAB-605FAEF42B22}"/>
            </a:ext>
          </a:extLst>
        </xdr:cNvPr>
        <xdr:cNvPicPr>
          <a:picLocks noChangeAspect="1"/>
        </xdr:cNvPicPr>
      </xdr:nvPicPr>
      <xdr:blipFill>
        <a:blip xmlns:r="http://schemas.openxmlformats.org/officeDocument/2006/relationships" r:embed="rId4"/>
        <a:stretch>
          <a:fillRect/>
        </a:stretch>
      </xdr:blipFill>
      <xdr:spPr>
        <a:xfrm>
          <a:off x="6582834" y="825500"/>
          <a:ext cx="338667" cy="290967"/>
        </a:xfrm>
        <a:prstGeom prst="rect">
          <a:avLst/>
        </a:prstGeom>
      </xdr:spPr>
    </xdr:pic>
    <xdr:clientData/>
  </xdr:twoCellAnchor>
  <xdr:twoCellAnchor>
    <xdr:from>
      <xdr:col>6</xdr:col>
      <xdr:colOff>190501</xdr:colOff>
      <xdr:row>15</xdr:row>
      <xdr:rowOff>178857</xdr:rowOff>
    </xdr:from>
    <xdr:to>
      <xdr:col>14</xdr:col>
      <xdr:colOff>529167</xdr:colOff>
      <xdr:row>37</xdr:row>
      <xdr:rowOff>10583</xdr:rowOff>
    </xdr:to>
    <xdr:sp macro="" textlink="">
      <xdr:nvSpPr>
        <xdr:cNvPr id="28" name="Rectangle: Rounded Corners 27">
          <a:extLst>
            <a:ext uri="{FF2B5EF4-FFF2-40B4-BE49-F238E27FC236}">
              <a16:creationId xmlns:a16="http://schemas.microsoft.com/office/drawing/2014/main" id="{456AF61B-F28B-45D4-B6AE-BEBA14D2C5E2}"/>
            </a:ext>
          </a:extLst>
        </xdr:cNvPr>
        <xdr:cNvSpPr/>
      </xdr:nvSpPr>
      <xdr:spPr>
        <a:xfrm>
          <a:off x="4191001" y="3195107"/>
          <a:ext cx="5672666" cy="4255559"/>
        </a:xfrm>
        <a:prstGeom prst="roundRect">
          <a:avLst>
            <a:gd name="adj" fmla="val 647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300565</xdr:colOff>
      <xdr:row>17</xdr:row>
      <xdr:rowOff>200024</xdr:rowOff>
    </xdr:from>
    <xdr:to>
      <xdr:col>9</xdr:col>
      <xdr:colOff>604315</xdr:colOff>
      <xdr:row>26</xdr:row>
      <xdr:rowOff>84666</xdr:rowOff>
    </xdr:to>
    <xdr:graphicFrame macro="">
      <xdr:nvGraphicFramePr>
        <xdr:cNvPr id="29" name="Chart 28">
          <a:extLst>
            <a:ext uri="{FF2B5EF4-FFF2-40B4-BE49-F238E27FC236}">
              <a16:creationId xmlns:a16="http://schemas.microsoft.com/office/drawing/2014/main" id="{1A963F53-76AB-4020-ADD9-896B222FF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203200</xdr:colOff>
      <xdr:row>16</xdr:row>
      <xdr:rowOff>12701</xdr:rowOff>
    </xdr:from>
    <xdr:to>
      <xdr:col>8</xdr:col>
      <xdr:colOff>234949</xdr:colOff>
      <xdr:row>18</xdr:row>
      <xdr:rowOff>23284</xdr:rowOff>
    </xdr:to>
    <xdr:sp macro="" textlink="'Sheet Design '!$A$9">
      <xdr:nvSpPr>
        <xdr:cNvPr id="30" name="TextBox 29">
          <a:extLst>
            <a:ext uri="{FF2B5EF4-FFF2-40B4-BE49-F238E27FC236}">
              <a16:creationId xmlns:a16="http://schemas.microsoft.com/office/drawing/2014/main" id="{7F927BCB-9848-4232-A53C-15F0FF291C2D}"/>
            </a:ext>
          </a:extLst>
        </xdr:cNvPr>
        <xdr:cNvSpPr txBox="1"/>
      </xdr:nvSpPr>
      <xdr:spPr>
        <a:xfrm>
          <a:off x="4203700" y="3230034"/>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FAT CONTENT</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359834</xdr:colOff>
      <xdr:row>15</xdr:row>
      <xdr:rowOff>178857</xdr:rowOff>
    </xdr:from>
    <xdr:to>
      <xdr:col>10</xdr:col>
      <xdr:colOff>359834</xdr:colOff>
      <xdr:row>37</xdr:row>
      <xdr:rowOff>10583</xdr:rowOff>
    </xdr:to>
    <xdr:cxnSp macro="">
      <xdr:nvCxnSpPr>
        <xdr:cNvPr id="32" name="Straight Connector 31">
          <a:extLst>
            <a:ext uri="{FF2B5EF4-FFF2-40B4-BE49-F238E27FC236}">
              <a16:creationId xmlns:a16="http://schemas.microsoft.com/office/drawing/2014/main" id="{D61CEDCB-510B-F24A-8A02-4E9E8D6B00C4}"/>
            </a:ext>
          </a:extLst>
        </xdr:cNvPr>
        <xdr:cNvCxnSpPr>
          <a:stCxn id="28" idx="0"/>
          <a:endCxn id="28" idx="2"/>
        </xdr:cNvCxnSpPr>
      </xdr:nvCxnSpPr>
      <xdr:spPr>
        <a:xfrm>
          <a:off x="7027334" y="3195107"/>
          <a:ext cx="0" cy="4255559"/>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190501</xdr:colOff>
      <xdr:row>26</xdr:row>
      <xdr:rowOff>94720</xdr:rowOff>
    </xdr:from>
    <xdr:to>
      <xdr:col>10</xdr:col>
      <xdr:colOff>370417</xdr:colOff>
      <xdr:row>26</xdr:row>
      <xdr:rowOff>95250</xdr:rowOff>
    </xdr:to>
    <xdr:cxnSp macro="">
      <xdr:nvCxnSpPr>
        <xdr:cNvPr id="35" name="Straight Connector 34">
          <a:extLst>
            <a:ext uri="{FF2B5EF4-FFF2-40B4-BE49-F238E27FC236}">
              <a16:creationId xmlns:a16="http://schemas.microsoft.com/office/drawing/2014/main" id="{5CC534C8-9AFC-4E7D-8841-A151317F28A6}"/>
            </a:ext>
          </a:extLst>
        </xdr:cNvPr>
        <xdr:cNvCxnSpPr>
          <a:stCxn id="28" idx="1"/>
        </xdr:cNvCxnSpPr>
      </xdr:nvCxnSpPr>
      <xdr:spPr>
        <a:xfrm>
          <a:off x="4191001" y="5322887"/>
          <a:ext cx="2846916" cy="53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402167</xdr:colOff>
      <xdr:row>28</xdr:row>
      <xdr:rowOff>84668</xdr:rowOff>
    </xdr:from>
    <xdr:to>
      <xdr:col>10</xdr:col>
      <xdr:colOff>328082</xdr:colOff>
      <xdr:row>36</xdr:row>
      <xdr:rowOff>190501</xdr:rowOff>
    </xdr:to>
    <xdr:graphicFrame macro="">
      <xdr:nvGraphicFramePr>
        <xdr:cNvPr id="60" name="Chart 59">
          <a:extLst>
            <a:ext uri="{FF2B5EF4-FFF2-40B4-BE49-F238E27FC236}">
              <a16:creationId xmlns:a16="http://schemas.microsoft.com/office/drawing/2014/main" id="{CAD4EBC7-2287-4677-8D3F-33B07BDD1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249767</xdr:colOff>
      <xdr:row>26</xdr:row>
      <xdr:rowOff>186267</xdr:rowOff>
    </xdr:from>
    <xdr:to>
      <xdr:col>8</xdr:col>
      <xdr:colOff>281516</xdr:colOff>
      <xdr:row>28</xdr:row>
      <xdr:rowOff>196851</xdr:rowOff>
    </xdr:to>
    <xdr:sp macro="" textlink="'Sheet Design '!$A$9">
      <xdr:nvSpPr>
        <xdr:cNvPr id="61" name="TextBox 60">
          <a:extLst>
            <a:ext uri="{FF2B5EF4-FFF2-40B4-BE49-F238E27FC236}">
              <a16:creationId xmlns:a16="http://schemas.microsoft.com/office/drawing/2014/main" id="{3FCA354A-3E5E-4571-9D45-96706B882DC1}"/>
            </a:ext>
          </a:extLst>
        </xdr:cNvPr>
        <xdr:cNvSpPr txBox="1"/>
      </xdr:nvSpPr>
      <xdr:spPr>
        <a:xfrm>
          <a:off x="4250267" y="5414434"/>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FAT BY OUTLET</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461433</xdr:colOff>
      <xdr:row>15</xdr:row>
      <xdr:rowOff>186267</xdr:rowOff>
    </xdr:from>
    <xdr:to>
      <xdr:col>12</xdr:col>
      <xdr:colOff>493182</xdr:colOff>
      <xdr:row>17</xdr:row>
      <xdr:rowOff>196850</xdr:rowOff>
    </xdr:to>
    <xdr:sp macro="" textlink="'Sheet Design '!$A$9">
      <xdr:nvSpPr>
        <xdr:cNvPr id="62" name="TextBox 61">
          <a:extLst>
            <a:ext uri="{FF2B5EF4-FFF2-40B4-BE49-F238E27FC236}">
              <a16:creationId xmlns:a16="http://schemas.microsoft.com/office/drawing/2014/main" id="{A13E0069-3978-4B3B-974D-800C7713B516}"/>
            </a:ext>
          </a:extLst>
        </xdr:cNvPr>
        <xdr:cNvSpPr txBox="1"/>
      </xdr:nvSpPr>
      <xdr:spPr>
        <a:xfrm>
          <a:off x="7128933" y="3202517"/>
          <a:ext cx="13652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ITEM TYPE</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455083</xdr:colOff>
      <xdr:row>17</xdr:row>
      <xdr:rowOff>74082</xdr:rowOff>
    </xdr:from>
    <xdr:to>
      <xdr:col>14</xdr:col>
      <xdr:colOff>402166</xdr:colOff>
      <xdr:row>37</xdr:row>
      <xdr:rowOff>42334</xdr:rowOff>
    </xdr:to>
    <xdr:graphicFrame macro="">
      <xdr:nvGraphicFramePr>
        <xdr:cNvPr id="63" name="Chart 62">
          <a:extLst>
            <a:ext uri="{FF2B5EF4-FFF2-40B4-BE49-F238E27FC236}">
              <a16:creationId xmlns:a16="http://schemas.microsoft.com/office/drawing/2014/main" id="{2CF2C20C-163F-4FE0-9832-703DC6C27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639233</xdr:colOff>
      <xdr:row>3</xdr:row>
      <xdr:rowOff>179917</xdr:rowOff>
    </xdr:from>
    <xdr:to>
      <xdr:col>23</xdr:col>
      <xdr:colOff>116416</xdr:colOff>
      <xdr:row>37</xdr:row>
      <xdr:rowOff>10583</xdr:rowOff>
    </xdr:to>
    <xdr:sp macro="" textlink="">
      <xdr:nvSpPr>
        <xdr:cNvPr id="64" name="Rectangle: Rounded Corners 63">
          <a:extLst>
            <a:ext uri="{FF2B5EF4-FFF2-40B4-BE49-F238E27FC236}">
              <a16:creationId xmlns:a16="http://schemas.microsoft.com/office/drawing/2014/main" id="{0A763BB9-C60E-437E-BB92-E8071988AE11}"/>
            </a:ext>
          </a:extLst>
        </xdr:cNvPr>
        <xdr:cNvSpPr/>
      </xdr:nvSpPr>
      <xdr:spPr>
        <a:xfrm>
          <a:off x="9973733" y="783167"/>
          <a:ext cx="5477933" cy="6667499"/>
        </a:xfrm>
        <a:prstGeom prst="roundRect">
          <a:avLst>
            <a:gd name="adj" fmla="val 647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173567</xdr:colOff>
      <xdr:row>4</xdr:row>
      <xdr:rowOff>116418</xdr:rowOff>
    </xdr:from>
    <xdr:to>
      <xdr:col>22</xdr:col>
      <xdr:colOff>370417</xdr:colOff>
      <xdr:row>14</xdr:row>
      <xdr:rowOff>157584</xdr:rowOff>
    </xdr:to>
    <xdr:graphicFrame macro="">
      <xdr:nvGraphicFramePr>
        <xdr:cNvPr id="65" name="Chart 64">
          <a:extLst>
            <a:ext uri="{FF2B5EF4-FFF2-40B4-BE49-F238E27FC236}">
              <a16:creationId xmlns:a16="http://schemas.microsoft.com/office/drawing/2014/main" id="{222B41B7-5AD8-4E58-BAFF-0A3ACC3A9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613834</xdr:colOff>
      <xdr:row>3</xdr:row>
      <xdr:rowOff>190501</xdr:rowOff>
    </xdr:from>
    <xdr:to>
      <xdr:col>18</xdr:col>
      <xdr:colOff>105834</xdr:colOff>
      <xdr:row>6</xdr:row>
      <xdr:rowOff>1</xdr:rowOff>
    </xdr:to>
    <xdr:sp macro="" textlink="'Sheet Design '!$A$9">
      <xdr:nvSpPr>
        <xdr:cNvPr id="66" name="TextBox 65">
          <a:extLst>
            <a:ext uri="{FF2B5EF4-FFF2-40B4-BE49-F238E27FC236}">
              <a16:creationId xmlns:a16="http://schemas.microsoft.com/office/drawing/2014/main" id="{65ACA402-1E43-42D6-B75F-FF41222E61FF}"/>
            </a:ext>
          </a:extLst>
        </xdr:cNvPr>
        <xdr:cNvSpPr txBox="1"/>
      </xdr:nvSpPr>
      <xdr:spPr>
        <a:xfrm>
          <a:off x="9948334" y="793751"/>
          <a:ext cx="21590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660401</xdr:colOff>
      <xdr:row>15</xdr:row>
      <xdr:rowOff>179917</xdr:rowOff>
    </xdr:from>
    <xdr:to>
      <xdr:col>23</xdr:col>
      <xdr:colOff>95250</xdr:colOff>
      <xdr:row>15</xdr:row>
      <xdr:rowOff>183621</xdr:rowOff>
    </xdr:to>
    <xdr:cxnSp macro="">
      <xdr:nvCxnSpPr>
        <xdr:cNvPr id="67" name="Straight Connector 66">
          <a:extLst>
            <a:ext uri="{FF2B5EF4-FFF2-40B4-BE49-F238E27FC236}">
              <a16:creationId xmlns:a16="http://schemas.microsoft.com/office/drawing/2014/main" id="{74D72EED-F669-4D2C-A6CB-D9724A1FEB5E}"/>
            </a:ext>
          </a:extLst>
        </xdr:cNvPr>
        <xdr:cNvCxnSpPr/>
      </xdr:nvCxnSpPr>
      <xdr:spPr>
        <a:xfrm flipV="1">
          <a:off x="9994901" y="3196167"/>
          <a:ext cx="5435599" cy="370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152400</xdr:colOff>
      <xdr:row>15</xdr:row>
      <xdr:rowOff>194734</xdr:rowOff>
    </xdr:from>
    <xdr:to>
      <xdr:col>17</xdr:col>
      <xdr:colOff>311150</xdr:colOff>
      <xdr:row>18</xdr:row>
      <xdr:rowOff>4234</xdr:rowOff>
    </xdr:to>
    <xdr:sp macro="" textlink="'Sheet Design '!$A$9">
      <xdr:nvSpPr>
        <xdr:cNvPr id="69" name="TextBox 68">
          <a:extLst>
            <a:ext uri="{FF2B5EF4-FFF2-40B4-BE49-F238E27FC236}">
              <a16:creationId xmlns:a16="http://schemas.microsoft.com/office/drawing/2014/main" id="{6805BA83-3665-44F8-B28F-2448E76FA269}"/>
            </a:ext>
          </a:extLst>
        </xdr:cNvPr>
        <xdr:cNvSpPr txBox="1"/>
      </xdr:nvSpPr>
      <xdr:spPr>
        <a:xfrm>
          <a:off x="9486900" y="3210984"/>
          <a:ext cx="21590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OUTLET SIZE</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14815</xdr:colOff>
      <xdr:row>17</xdr:row>
      <xdr:rowOff>95249</xdr:rowOff>
    </xdr:from>
    <xdr:to>
      <xdr:col>19</xdr:col>
      <xdr:colOff>83815</xdr:colOff>
      <xdr:row>27</xdr:row>
      <xdr:rowOff>63500</xdr:rowOff>
    </xdr:to>
    <xdr:graphicFrame macro="">
      <xdr:nvGraphicFramePr>
        <xdr:cNvPr id="70" name="Chart 69">
          <a:extLst>
            <a:ext uri="{FF2B5EF4-FFF2-40B4-BE49-F238E27FC236}">
              <a16:creationId xmlns:a16="http://schemas.microsoft.com/office/drawing/2014/main" id="{48A90ADB-3437-44A1-97E3-E98EE7705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632883</xdr:colOff>
      <xdr:row>27</xdr:row>
      <xdr:rowOff>110067</xdr:rowOff>
    </xdr:from>
    <xdr:to>
      <xdr:col>23</xdr:col>
      <xdr:colOff>67732</xdr:colOff>
      <xdr:row>27</xdr:row>
      <xdr:rowOff>113771</xdr:rowOff>
    </xdr:to>
    <xdr:cxnSp macro="">
      <xdr:nvCxnSpPr>
        <xdr:cNvPr id="71" name="Straight Connector 70">
          <a:extLst>
            <a:ext uri="{FF2B5EF4-FFF2-40B4-BE49-F238E27FC236}">
              <a16:creationId xmlns:a16="http://schemas.microsoft.com/office/drawing/2014/main" id="{D46BBEF5-2343-4296-A0CC-FD6DB4D44B05}"/>
            </a:ext>
          </a:extLst>
        </xdr:cNvPr>
        <xdr:cNvCxnSpPr/>
      </xdr:nvCxnSpPr>
      <xdr:spPr>
        <a:xfrm flipV="1">
          <a:off x="9967383" y="5539317"/>
          <a:ext cx="5435599" cy="370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645583</xdr:colOff>
      <xdr:row>16</xdr:row>
      <xdr:rowOff>52917</xdr:rowOff>
    </xdr:from>
    <xdr:to>
      <xdr:col>19</xdr:col>
      <xdr:colOff>10583</xdr:colOff>
      <xdr:row>27</xdr:row>
      <xdr:rowOff>84667</xdr:rowOff>
    </xdr:to>
    <xdr:cxnSp macro="">
      <xdr:nvCxnSpPr>
        <xdr:cNvPr id="73" name="Straight Connector 72">
          <a:extLst>
            <a:ext uri="{FF2B5EF4-FFF2-40B4-BE49-F238E27FC236}">
              <a16:creationId xmlns:a16="http://schemas.microsoft.com/office/drawing/2014/main" id="{9E86BB37-84D7-429E-AC28-F5EAA2DBBB5A}"/>
            </a:ext>
          </a:extLst>
        </xdr:cNvPr>
        <xdr:cNvCxnSpPr/>
      </xdr:nvCxnSpPr>
      <xdr:spPr>
        <a:xfrm>
          <a:off x="12647083" y="3270250"/>
          <a:ext cx="31750" cy="224366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105832</xdr:colOff>
      <xdr:row>17</xdr:row>
      <xdr:rowOff>31750</xdr:rowOff>
    </xdr:from>
    <xdr:to>
      <xdr:col>23</xdr:col>
      <xdr:colOff>31749</xdr:colOff>
      <xdr:row>27</xdr:row>
      <xdr:rowOff>52916</xdr:rowOff>
    </xdr:to>
    <mc:AlternateContent xmlns:mc="http://schemas.openxmlformats.org/markup-compatibility/2006">
      <mc:Choice xmlns:cx2="http://schemas.microsoft.com/office/drawing/2015/10/21/chartex" Requires="cx2">
        <xdr:graphicFrame macro="">
          <xdr:nvGraphicFramePr>
            <xdr:cNvPr id="77" name="Chart 76">
              <a:extLst>
                <a:ext uri="{FF2B5EF4-FFF2-40B4-BE49-F238E27FC236}">
                  <a16:creationId xmlns:a16="http://schemas.microsoft.com/office/drawing/2014/main" id="{D52B0E68-F243-4B36-A2F9-E15D564C37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774082" y="3450167"/>
              <a:ext cx="2592917" cy="20319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357716</xdr:colOff>
      <xdr:row>15</xdr:row>
      <xdr:rowOff>146051</xdr:rowOff>
    </xdr:from>
    <xdr:to>
      <xdr:col>21</xdr:col>
      <xdr:colOff>516466</xdr:colOff>
      <xdr:row>17</xdr:row>
      <xdr:rowOff>156634</xdr:rowOff>
    </xdr:to>
    <xdr:sp macro="" textlink="'Sheet Design '!$A$9">
      <xdr:nvSpPr>
        <xdr:cNvPr id="78" name="TextBox 77">
          <a:extLst>
            <a:ext uri="{FF2B5EF4-FFF2-40B4-BE49-F238E27FC236}">
              <a16:creationId xmlns:a16="http://schemas.microsoft.com/office/drawing/2014/main" id="{CD71D4BF-81CD-4836-A833-ED98BE0F9F1A}"/>
            </a:ext>
          </a:extLst>
        </xdr:cNvPr>
        <xdr:cNvSpPr txBox="1"/>
      </xdr:nvSpPr>
      <xdr:spPr>
        <a:xfrm>
          <a:off x="12359216" y="3162301"/>
          <a:ext cx="21590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OUTLET LOCATION</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592668</xdr:colOff>
      <xdr:row>28</xdr:row>
      <xdr:rowOff>193666</xdr:rowOff>
    </xdr:from>
    <xdr:to>
      <xdr:col>17</xdr:col>
      <xdr:colOff>320418</xdr:colOff>
      <xdr:row>37</xdr:row>
      <xdr:rowOff>3916</xdr:rowOff>
    </xdr:to>
    <xdr:graphicFrame macro="">
      <xdr:nvGraphicFramePr>
        <xdr:cNvPr id="79" name="Chart 78">
          <a:extLst>
            <a:ext uri="{FF2B5EF4-FFF2-40B4-BE49-F238E27FC236}">
              <a16:creationId xmlns:a16="http://schemas.microsoft.com/office/drawing/2014/main" id="{76640644-C55A-4FDF-84A2-74364E764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114299</xdr:colOff>
      <xdr:row>27</xdr:row>
      <xdr:rowOff>82551</xdr:rowOff>
    </xdr:from>
    <xdr:to>
      <xdr:col>17</xdr:col>
      <xdr:colOff>273049</xdr:colOff>
      <xdr:row>29</xdr:row>
      <xdr:rowOff>93134</xdr:rowOff>
    </xdr:to>
    <xdr:sp macro="" textlink="'Sheet Design '!$A$9">
      <xdr:nvSpPr>
        <xdr:cNvPr id="80" name="TextBox 79">
          <a:extLst>
            <a:ext uri="{FF2B5EF4-FFF2-40B4-BE49-F238E27FC236}">
              <a16:creationId xmlns:a16="http://schemas.microsoft.com/office/drawing/2014/main" id="{0B7446D4-9172-4D16-BA8F-03730DE7040F}"/>
            </a:ext>
          </a:extLst>
        </xdr:cNvPr>
        <xdr:cNvSpPr txBox="1"/>
      </xdr:nvSpPr>
      <xdr:spPr>
        <a:xfrm>
          <a:off x="9448799" y="5511801"/>
          <a:ext cx="21590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OUTLET TYPE</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306917</xdr:colOff>
      <xdr:row>29</xdr:row>
      <xdr:rowOff>10582</xdr:rowOff>
    </xdr:from>
    <xdr:to>
      <xdr:col>20</xdr:col>
      <xdr:colOff>71966</xdr:colOff>
      <xdr:row>36</xdr:row>
      <xdr:rowOff>186999</xdr:rowOff>
    </xdr:to>
    <xdr:graphicFrame macro="">
      <xdr:nvGraphicFramePr>
        <xdr:cNvPr id="82" name="Chart 81">
          <a:extLst>
            <a:ext uri="{FF2B5EF4-FFF2-40B4-BE49-F238E27FC236}">
              <a16:creationId xmlns:a16="http://schemas.microsoft.com/office/drawing/2014/main" id="{81A63571-339F-47BC-856D-25C3856E8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584199</xdr:colOff>
      <xdr:row>36</xdr:row>
      <xdr:rowOff>55034</xdr:rowOff>
    </xdr:from>
    <xdr:to>
      <xdr:col>17</xdr:col>
      <xdr:colOff>349249</xdr:colOff>
      <xdr:row>36</xdr:row>
      <xdr:rowOff>179918</xdr:rowOff>
    </xdr:to>
    <xdr:sp macro="" textlink="'Sheet Design '!$A$9">
      <xdr:nvSpPr>
        <xdr:cNvPr id="83" name="TextBox 82">
          <a:extLst>
            <a:ext uri="{FF2B5EF4-FFF2-40B4-BE49-F238E27FC236}">
              <a16:creationId xmlns:a16="http://schemas.microsoft.com/office/drawing/2014/main" id="{AF4D4AB8-5931-4E96-B762-A62C8A027760}"/>
            </a:ext>
          </a:extLst>
        </xdr:cNvPr>
        <xdr:cNvSpPr txBox="1"/>
      </xdr:nvSpPr>
      <xdr:spPr>
        <a:xfrm>
          <a:off x="9918699" y="7294034"/>
          <a:ext cx="1765300" cy="12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05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05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567265</xdr:colOff>
      <xdr:row>35</xdr:row>
      <xdr:rowOff>175682</xdr:rowOff>
    </xdr:from>
    <xdr:to>
      <xdr:col>19</xdr:col>
      <xdr:colOff>332315</xdr:colOff>
      <xdr:row>37</xdr:row>
      <xdr:rowOff>42333</xdr:rowOff>
    </xdr:to>
    <xdr:sp macro="" textlink="'Sheet Design '!$A$9">
      <xdr:nvSpPr>
        <xdr:cNvPr id="84" name="TextBox 83">
          <a:extLst>
            <a:ext uri="{FF2B5EF4-FFF2-40B4-BE49-F238E27FC236}">
              <a16:creationId xmlns:a16="http://schemas.microsoft.com/office/drawing/2014/main" id="{BC94A64E-EF52-4FF2-9327-83A3ED95DD6B}"/>
            </a:ext>
          </a:extLst>
        </xdr:cNvPr>
        <xdr:cNvSpPr txBox="1"/>
      </xdr:nvSpPr>
      <xdr:spPr>
        <a:xfrm>
          <a:off x="11235265" y="7213599"/>
          <a:ext cx="1765300" cy="268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05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592665</xdr:colOff>
      <xdr:row>35</xdr:row>
      <xdr:rowOff>201082</xdr:rowOff>
    </xdr:from>
    <xdr:to>
      <xdr:col>22</xdr:col>
      <xdr:colOff>357715</xdr:colOff>
      <xdr:row>37</xdr:row>
      <xdr:rowOff>67733</xdr:rowOff>
    </xdr:to>
    <xdr:sp macro="" textlink="'Sheet Design '!$A$9">
      <xdr:nvSpPr>
        <xdr:cNvPr id="85" name="TextBox 84">
          <a:extLst>
            <a:ext uri="{FF2B5EF4-FFF2-40B4-BE49-F238E27FC236}">
              <a16:creationId xmlns:a16="http://schemas.microsoft.com/office/drawing/2014/main" id="{8C6F4EAF-CCDF-4CCD-9D9C-381A552D82E7}"/>
            </a:ext>
          </a:extLst>
        </xdr:cNvPr>
        <xdr:cNvSpPr txBox="1"/>
      </xdr:nvSpPr>
      <xdr:spPr>
        <a:xfrm>
          <a:off x="13260915" y="7238999"/>
          <a:ext cx="1765300" cy="268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05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63500</xdr:colOff>
      <xdr:row>29</xdr:row>
      <xdr:rowOff>10584</xdr:rowOff>
    </xdr:from>
    <xdr:to>
      <xdr:col>23</xdr:col>
      <xdr:colOff>42333</xdr:colOff>
      <xdr:row>36</xdr:row>
      <xdr:rowOff>190501</xdr:rowOff>
    </xdr:to>
    <xdr:graphicFrame macro="">
      <xdr:nvGraphicFramePr>
        <xdr:cNvPr id="86" name="Chart 85">
          <a:extLst>
            <a:ext uri="{FF2B5EF4-FFF2-40B4-BE49-F238E27FC236}">
              <a16:creationId xmlns:a16="http://schemas.microsoft.com/office/drawing/2014/main" id="{20B9FA77-7853-4FD0-A550-C7F76FCE7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503766</xdr:colOff>
      <xdr:row>9</xdr:row>
      <xdr:rowOff>69852</xdr:rowOff>
    </xdr:from>
    <xdr:to>
      <xdr:col>5</xdr:col>
      <xdr:colOff>535515</xdr:colOff>
      <xdr:row>10</xdr:row>
      <xdr:rowOff>116418</xdr:rowOff>
    </xdr:to>
    <xdr:sp macro="" textlink="'Sheet Design '!$A$9">
      <xdr:nvSpPr>
        <xdr:cNvPr id="87" name="TextBox 86">
          <a:extLst>
            <a:ext uri="{FF2B5EF4-FFF2-40B4-BE49-F238E27FC236}">
              <a16:creationId xmlns:a16="http://schemas.microsoft.com/office/drawing/2014/main" id="{CD6D591C-2CE1-4778-BF28-9B290916895C}"/>
            </a:ext>
          </a:extLst>
        </xdr:cNvPr>
        <xdr:cNvSpPr txBox="1"/>
      </xdr:nvSpPr>
      <xdr:spPr>
        <a:xfrm>
          <a:off x="2504016" y="1879602"/>
          <a:ext cx="1365249"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00B050"/>
              </a:solidFill>
              <a:latin typeface="Segoe UI Semibold" panose="020B0702040204020203"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3</xdr:col>
      <xdr:colOff>423335</xdr:colOff>
      <xdr:row>9</xdr:row>
      <xdr:rowOff>84668</xdr:rowOff>
    </xdr:from>
    <xdr:to>
      <xdr:col>3</xdr:col>
      <xdr:colOff>645583</xdr:colOff>
      <xdr:row>10</xdr:row>
      <xdr:rowOff>105833</xdr:rowOff>
    </xdr:to>
    <xdr:pic>
      <xdr:nvPicPr>
        <xdr:cNvPr id="89" name="Picture 88">
          <a:extLst>
            <a:ext uri="{FF2B5EF4-FFF2-40B4-BE49-F238E27FC236}">
              <a16:creationId xmlns:a16="http://schemas.microsoft.com/office/drawing/2014/main" id="{7970107E-39B7-0AF6-3B17-8C4606B18EED}"/>
            </a:ext>
          </a:extLst>
        </xdr:cNvPr>
        <xdr:cNvPicPr>
          <a:picLocks noChangeAspect="1"/>
        </xdr:cNvPicPr>
      </xdr:nvPicPr>
      <xdr:blipFill>
        <a:blip xmlns:r="http://schemas.openxmlformats.org/officeDocument/2006/relationships" r:embed="rId14"/>
        <a:stretch>
          <a:fillRect/>
        </a:stretch>
      </xdr:blipFill>
      <xdr:spPr>
        <a:xfrm>
          <a:off x="2423585" y="1894418"/>
          <a:ext cx="222248" cy="222248"/>
        </a:xfrm>
        <a:prstGeom prst="rect">
          <a:avLst/>
        </a:prstGeom>
      </xdr:spPr>
    </xdr:pic>
    <xdr:clientData/>
  </xdr:twoCellAnchor>
  <xdr:twoCellAnchor editAs="oneCell">
    <xdr:from>
      <xdr:col>3</xdr:col>
      <xdr:colOff>132415</xdr:colOff>
      <xdr:row>11</xdr:row>
      <xdr:rowOff>42333</xdr:rowOff>
    </xdr:from>
    <xdr:to>
      <xdr:col>6</xdr:col>
      <xdr:colOff>56029</xdr:colOff>
      <xdr:row>17</xdr:row>
      <xdr:rowOff>93133</xdr:rowOff>
    </xdr:to>
    <mc:AlternateContent xmlns:mc="http://schemas.openxmlformats.org/markup-compatibility/2006">
      <mc:Choice xmlns:a14="http://schemas.microsoft.com/office/drawing/2010/main" Requires="a14">
        <xdr:graphicFrame macro="">
          <xdr:nvGraphicFramePr>
            <xdr:cNvPr id="90" name="Outlet Size 1">
              <a:extLst>
                <a:ext uri="{FF2B5EF4-FFF2-40B4-BE49-F238E27FC236}">
                  <a16:creationId xmlns:a16="http://schemas.microsoft.com/office/drawing/2014/main" id="{6B75A625-4A21-4BDF-9085-6AE307CE27B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149474" y="2211792"/>
              <a:ext cx="1940673" cy="1234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147356</xdr:colOff>
      <xdr:row>17</xdr:row>
      <xdr:rowOff>127623</xdr:rowOff>
    </xdr:from>
    <xdr:to>
      <xdr:col>6</xdr:col>
      <xdr:colOff>44823</xdr:colOff>
      <xdr:row>23</xdr:row>
      <xdr:rowOff>167068</xdr:rowOff>
    </xdr:to>
    <mc:AlternateContent xmlns:mc="http://schemas.openxmlformats.org/markup-compatibility/2006">
      <mc:Choice xmlns:a14="http://schemas.microsoft.com/office/drawing/2010/main" Requires="a14">
        <xdr:graphicFrame macro="">
          <xdr:nvGraphicFramePr>
            <xdr:cNvPr id="92" name="Outlet Location Type 1">
              <a:extLst>
                <a:ext uri="{FF2B5EF4-FFF2-40B4-BE49-F238E27FC236}">
                  <a16:creationId xmlns:a16="http://schemas.microsoft.com/office/drawing/2014/main" id="{242EA168-DE70-4834-A862-905B226EF82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164415" y="3480423"/>
              <a:ext cx="1914526" cy="1222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124944</xdr:colOff>
      <xdr:row>24</xdr:row>
      <xdr:rowOff>1</xdr:rowOff>
    </xdr:from>
    <xdr:to>
      <xdr:col>6</xdr:col>
      <xdr:colOff>44823</xdr:colOff>
      <xdr:row>33</xdr:row>
      <xdr:rowOff>78442</xdr:rowOff>
    </xdr:to>
    <mc:AlternateContent xmlns:mc="http://schemas.openxmlformats.org/markup-compatibility/2006">
      <mc:Choice xmlns:a14="http://schemas.microsoft.com/office/drawing/2010/main" Requires="a14">
        <xdr:graphicFrame macro="">
          <xdr:nvGraphicFramePr>
            <xdr:cNvPr id="93" name="Item Type 1">
              <a:extLst>
                <a:ext uri="{FF2B5EF4-FFF2-40B4-BE49-F238E27FC236}">
                  <a16:creationId xmlns:a16="http://schemas.microsoft.com/office/drawing/2014/main" id="{FEFA581C-697D-49DB-82C8-D85508BE3C9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142003" y="4733366"/>
              <a:ext cx="1936938" cy="1853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257735</xdr:colOff>
      <xdr:row>33</xdr:row>
      <xdr:rowOff>190500</xdr:rowOff>
    </xdr:from>
    <xdr:to>
      <xdr:col>4</xdr:col>
      <xdr:colOff>156881</xdr:colOff>
      <xdr:row>36</xdr:row>
      <xdr:rowOff>156881</xdr:rowOff>
    </xdr:to>
    <xdr:pic>
      <xdr:nvPicPr>
        <xdr:cNvPr id="94" name="Picture 93">
          <a:hlinkClick xmlns:r="http://schemas.openxmlformats.org/officeDocument/2006/relationships" r:id="rId15"/>
          <a:extLst>
            <a:ext uri="{FF2B5EF4-FFF2-40B4-BE49-F238E27FC236}">
              <a16:creationId xmlns:a16="http://schemas.microsoft.com/office/drawing/2014/main" id="{4993EDC1-7943-2566-CFB7-661FAB540931}"/>
            </a:ext>
          </a:extLst>
        </xdr:cNvPr>
        <xdr:cNvPicPr>
          <a:picLocks noChangeAspect="1"/>
        </xdr:cNvPicPr>
      </xdr:nvPicPr>
      <xdr:blipFill>
        <a:blip xmlns:r="http://schemas.openxmlformats.org/officeDocument/2006/relationships" r:embed="rId16"/>
        <a:stretch>
          <a:fillRect/>
        </a:stretch>
      </xdr:blipFill>
      <xdr:spPr>
        <a:xfrm>
          <a:off x="2274794" y="6846794"/>
          <a:ext cx="571499" cy="571499"/>
        </a:xfrm>
        <a:prstGeom prst="rect">
          <a:avLst/>
        </a:prstGeom>
      </xdr:spPr>
    </xdr:pic>
    <xdr:clientData/>
  </xdr:twoCellAnchor>
  <xdr:twoCellAnchor editAs="oneCell">
    <xdr:from>
      <xdr:col>4</xdr:col>
      <xdr:colOff>537885</xdr:colOff>
      <xdr:row>34</xdr:row>
      <xdr:rowOff>22413</xdr:rowOff>
    </xdr:from>
    <xdr:to>
      <xdr:col>5</xdr:col>
      <xdr:colOff>369796</xdr:colOff>
      <xdr:row>36</xdr:row>
      <xdr:rowOff>123265</xdr:rowOff>
    </xdr:to>
    <xdr:pic>
      <xdr:nvPicPr>
        <xdr:cNvPr id="95" name="Picture 94">
          <a:hlinkClick xmlns:r="http://schemas.openxmlformats.org/officeDocument/2006/relationships" r:id="rId17"/>
          <a:extLst>
            <a:ext uri="{FF2B5EF4-FFF2-40B4-BE49-F238E27FC236}">
              <a16:creationId xmlns:a16="http://schemas.microsoft.com/office/drawing/2014/main" id="{D43EC756-4E5F-B3FB-A454-D47174272684}"/>
            </a:ext>
          </a:extLst>
        </xdr:cNvPr>
        <xdr:cNvPicPr>
          <a:picLocks noChangeAspect="1"/>
        </xdr:cNvPicPr>
      </xdr:nvPicPr>
      <xdr:blipFill>
        <a:blip xmlns:r="http://schemas.openxmlformats.org/officeDocument/2006/relationships" r:embed="rId18"/>
        <a:stretch>
          <a:fillRect/>
        </a:stretch>
      </xdr:blipFill>
      <xdr:spPr>
        <a:xfrm>
          <a:off x="3227297" y="6880413"/>
          <a:ext cx="504264" cy="5042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09.938985300927" createdVersion="8" refreshedVersion="8" minRefreshableVersion="3" recordCount="8523" xr:uid="{E8648680-ECD2-4E25-900D-CCAE009B86B4}">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67400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10D80-3F19-434F-9693-BD1E3C161BC8}" name="PivotTable37" cacheId="3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135:B139" firstHeaderRow="1" firstDataRow="1" firstDataCol="1"/>
  <pivotFields count="12">
    <pivotField showAll="0">
      <items count="3">
        <item x="0"/>
        <item x="1"/>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numFmtId="1"/>
  </dataFields>
  <formats count="13">
    <format dxfId="1598">
      <pivotArea type="all" dataOnly="0" outline="0" fieldPosition="0"/>
    </format>
    <format dxfId="1599">
      <pivotArea outline="0" collapsedLevelsAreSubtotals="1" fieldPosition="0"/>
    </format>
    <format dxfId="1600">
      <pivotArea dataOnly="0" labelOnly="1" grandRow="1" outline="0" fieldPosition="0"/>
    </format>
    <format dxfId="1601">
      <pivotArea outline="0" collapsedLevelsAreSubtotals="1" fieldPosition="0"/>
    </format>
    <format dxfId="1602">
      <pivotArea type="all" dataOnly="0" outline="0" fieldPosition="0"/>
    </format>
    <format dxfId="1603">
      <pivotArea outline="0" collapsedLevelsAreSubtotals="1" fieldPosition="0"/>
    </format>
    <format dxfId="1604">
      <pivotArea field="5" type="button" dataOnly="0" labelOnly="1" outline="0"/>
    </format>
    <format dxfId="1597">
      <pivotArea outline="0" collapsedLevelsAreSubtotals="1" fieldPosition="0"/>
    </format>
    <format dxfId="1596">
      <pivotArea type="all" dataOnly="0" outline="0" fieldPosition="0"/>
    </format>
    <format dxfId="1595">
      <pivotArea outline="0" collapsedLevelsAreSubtotals="1" fieldPosition="0"/>
    </format>
    <format dxfId="1594">
      <pivotArea field="7" type="button" dataOnly="0" labelOnly="1" outline="0" axis="axisRow" fieldPosition="0"/>
    </format>
    <format dxfId="1593">
      <pivotArea dataOnly="0" labelOnly="1" fieldPosition="0">
        <references count="1">
          <reference field="7" count="0"/>
        </references>
      </pivotArea>
    </format>
    <format dxfId="1592">
      <pivotArea dataOnly="0" labelOnly="1" outline="0" axis="axisValues" fieldPosition="0"/>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2F19F5-E64A-4E80-964F-A13EB106E46C}" name="PivotTable36" cacheId="3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28:B132"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73"/>
  </dataFields>
  <formats count="13">
    <format dxfId="1605">
      <pivotArea type="all" dataOnly="0" outline="0" fieldPosition="0"/>
    </format>
    <format dxfId="1606">
      <pivotArea outline="0" collapsedLevelsAreSubtotals="1" fieldPosition="0"/>
    </format>
    <format dxfId="1607">
      <pivotArea dataOnly="0" labelOnly="1" grandRow="1" outline="0" fieldPosition="0"/>
    </format>
    <format dxfId="1608">
      <pivotArea outline="0" collapsedLevelsAreSubtotals="1" fieldPosition="0"/>
    </format>
    <format dxfId="1609">
      <pivotArea type="all" dataOnly="0" outline="0" fieldPosition="0"/>
    </format>
    <format dxfId="1610">
      <pivotArea outline="0" collapsedLevelsAreSubtotals="1" fieldPosition="0"/>
    </format>
    <format dxfId="1611">
      <pivotArea field="5" type="button" dataOnly="0" labelOnly="1" outline="0"/>
    </format>
    <format dxfId="1612">
      <pivotArea outline="0" collapsedLevelsAreSubtotals="1" fieldPosition="0"/>
    </format>
    <format dxfId="1591">
      <pivotArea type="all" dataOnly="0" outline="0" fieldPosition="0"/>
    </format>
    <format dxfId="1590">
      <pivotArea outline="0" collapsedLevelsAreSubtotals="1" fieldPosition="0"/>
    </format>
    <format dxfId="1589">
      <pivotArea field="7" type="button" dataOnly="0" labelOnly="1" outline="0" axis="axisRow" fieldPosition="0"/>
    </format>
    <format dxfId="1588">
      <pivotArea dataOnly="0" labelOnly="1" fieldPosition="0">
        <references count="1">
          <reference field="7" count="0"/>
        </references>
      </pivotArea>
    </format>
    <format dxfId="1587">
      <pivotArea dataOnly="0" labelOnly="1" outline="0" axis="axisValues" fieldPosition="0"/>
    </format>
  </formats>
  <chartFormats count="10">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E0997-FCC9-4C8B-BC6F-8CCE9F28B6BB}" name="PivotTable35" cacheId="3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121:B12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dataFields>
  <formats count="9">
    <format dxfId="1613">
      <pivotArea type="all" dataOnly="0" outline="0" fieldPosition="0"/>
    </format>
    <format dxfId="1614">
      <pivotArea outline="0" collapsedLevelsAreSubtotals="1" fieldPosition="0"/>
    </format>
    <format dxfId="1615">
      <pivotArea dataOnly="0" labelOnly="1" grandRow="1" outline="0" fieldPosition="0"/>
    </format>
    <format dxfId="1616">
      <pivotArea outline="0" collapsedLevelsAreSubtotals="1" fieldPosition="0"/>
    </format>
    <format dxfId="1586">
      <pivotArea type="all" dataOnly="0" outline="0" fieldPosition="0"/>
    </format>
    <format dxfId="1585">
      <pivotArea outline="0" collapsedLevelsAreSubtotals="1" fieldPosition="0"/>
    </format>
    <format dxfId="1584">
      <pivotArea field="7" type="button" dataOnly="0" labelOnly="1" outline="0" axis="axisRow" fieldPosition="0"/>
    </format>
    <format dxfId="1583">
      <pivotArea dataOnly="0" labelOnly="1" fieldPosition="0">
        <references count="1">
          <reference field="7" count="0"/>
        </references>
      </pivotArea>
    </format>
    <format dxfId="1582">
      <pivotArea dataOnly="0" labelOnly="1" outline="0" axis="axisValues" fieldPosition="0"/>
    </format>
  </formats>
  <chartFormats count="8">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19F5C6-3903-4F79-BB32-63EFB39BE7B3}" name="PivotTable30" cacheId="3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08:B111"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dataFields>
  <formats count="9">
    <format dxfId="1627">
      <pivotArea type="all" dataOnly="0" outline="0" fieldPosition="0"/>
    </format>
    <format dxfId="1628">
      <pivotArea outline="0" collapsedLevelsAreSubtotals="1" fieldPosition="0"/>
    </format>
    <format dxfId="1629">
      <pivotArea dataOnly="0" labelOnly="1" grandRow="1" outline="0" fieldPosition="0"/>
    </format>
    <format dxfId="1630">
      <pivotArea outline="0" collapsedLevelsAreSubtotals="1" fieldPosition="0"/>
    </format>
    <format dxfId="1626">
      <pivotArea type="all" dataOnly="0" outline="0" fieldPosition="0"/>
    </format>
    <format dxfId="1625">
      <pivotArea outline="0" collapsedLevelsAreSubtotals="1" fieldPosition="0"/>
    </format>
    <format dxfId="1624">
      <pivotArea field="5" type="button" dataOnly="0" labelOnly="1" outline="0" axis="axisRow" fieldPosition="0"/>
    </format>
    <format dxfId="1623">
      <pivotArea dataOnly="0" labelOnly="1" fieldPosition="0">
        <references count="1">
          <reference field="5" count="0"/>
        </references>
      </pivotArea>
    </format>
    <format dxfId="1622">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BFC9F9-7923-4E0F-9AE1-4B3FCAE824FD}" name="PivotTable29" cacheId="3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92:B9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dataFields>
  <formats count="9">
    <format dxfId="1631">
      <pivotArea type="all" dataOnly="0" outline="0" fieldPosition="0"/>
    </format>
    <format dxfId="1632">
      <pivotArea outline="0" collapsedLevelsAreSubtotals="1" fieldPosition="0"/>
    </format>
    <format dxfId="1633">
      <pivotArea dataOnly="0" labelOnly="1" grandRow="1" outline="0" fieldPosition="0"/>
    </format>
    <format dxfId="1634">
      <pivotArea outline="0" collapsedLevelsAreSubtotals="1" fieldPosition="0"/>
    </format>
    <format dxfId="1621">
      <pivotArea type="all" dataOnly="0" outline="0" fieldPosition="0"/>
    </format>
    <format dxfId="1620">
      <pivotArea outline="0" collapsedLevelsAreSubtotals="1" fieldPosition="0"/>
    </format>
    <format dxfId="1619">
      <pivotArea field="6" type="button" dataOnly="0" labelOnly="1" outline="0" axis="axisRow" fieldPosition="0"/>
    </format>
    <format dxfId="1618">
      <pivotArea dataOnly="0" labelOnly="1" fieldPosition="0">
        <references count="1">
          <reference field="6" count="0"/>
        </references>
      </pivotArea>
    </format>
    <format dxfId="1617">
      <pivotArea dataOnly="0" labelOnly="1" outline="0" axis="axisValues" fieldPosition="0"/>
    </format>
  </formats>
  <chartFormats count="9">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6" count="1" selected="0">
            <x v="0"/>
          </reference>
        </references>
      </pivotArea>
    </chartFormat>
    <chartFormat chart="23" format="7">
      <pivotArea type="data" outline="0" fieldPosition="0">
        <references count="2">
          <reference field="4294967294" count="1" selected="0">
            <x v="0"/>
          </reference>
          <reference field="6" count="1" selected="0">
            <x v="1"/>
          </reference>
        </references>
      </pivotArea>
    </chartFormat>
    <chartFormat chart="2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5C8E89-9610-4442-849D-9EC96790367B}" name="PivotTable28" cacheId="3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71:B80"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dataFields>
  <formats count="9">
    <format dxfId="1640">
      <pivotArea type="all" dataOnly="0" outline="0" fieldPosition="0"/>
    </format>
    <format dxfId="1641">
      <pivotArea outline="0" collapsedLevelsAreSubtotals="1" fieldPosition="0"/>
    </format>
    <format dxfId="1642">
      <pivotArea dataOnly="0" labelOnly="1" grandRow="1" outline="0" fieldPosition="0"/>
    </format>
    <format dxfId="1643">
      <pivotArea outline="0" collapsedLevelsAreSubtotals="1" fieldPosition="0"/>
    </format>
    <format dxfId="1639">
      <pivotArea type="all" dataOnly="0" outline="0" fieldPosition="0"/>
    </format>
    <format dxfId="1638">
      <pivotArea outline="0" collapsedLevelsAreSubtotals="1" fieldPosition="0"/>
    </format>
    <format dxfId="1637">
      <pivotArea field="3" type="button" dataOnly="0" labelOnly="1" outline="0" axis="axisRow" fieldPosition="0"/>
    </format>
    <format dxfId="1636">
      <pivotArea dataOnly="0" labelOnly="1" fieldPosition="0">
        <references count="1">
          <reference field="3" count="0"/>
        </references>
      </pivotArea>
    </format>
    <format dxfId="1635">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3" count="1" selected="0">
            <x v="0"/>
          </reference>
        </references>
      </pivotArea>
    </chartFormat>
    <chartFormat chart="18" format="4">
      <pivotArea type="data" outline="0" fieldPosition="0">
        <references count="2">
          <reference field="4294967294" count="1" selected="0">
            <x v="0"/>
          </reference>
          <reference field="3" count="1" selected="0">
            <x v="1"/>
          </reference>
        </references>
      </pivotArea>
    </chartFormat>
    <chartFormat chart="18" format="5">
      <pivotArea type="data" outline="0" fieldPosition="0">
        <references count="2">
          <reference field="4294967294" count="1" selected="0">
            <x v="0"/>
          </reference>
          <reference field="3" count="1" selected="0">
            <x v="2"/>
          </reference>
        </references>
      </pivotArea>
    </chartFormat>
    <chartFormat chart="18" format="6">
      <pivotArea type="data" outline="0" fieldPosition="0">
        <references count="2">
          <reference field="4294967294" count="1" selected="0">
            <x v="0"/>
          </reference>
          <reference field="3" count="1" selected="0">
            <x v="3"/>
          </reference>
        </references>
      </pivotArea>
    </chartFormat>
    <chartFormat chart="18" format="7">
      <pivotArea type="data" outline="0" fieldPosition="0">
        <references count="2">
          <reference field="4294967294" count="1" selected="0">
            <x v="0"/>
          </reference>
          <reference field="3" count="1" selected="0">
            <x v="4"/>
          </reference>
        </references>
      </pivotArea>
    </chartFormat>
    <chartFormat chart="18" format="8">
      <pivotArea type="data" outline="0" fieldPosition="0">
        <references count="2">
          <reference field="4294967294" count="1" selected="0">
            <x v="0"/>
          </reference>
          <reference field="3" count="1" selected="0">
            <x v="5"/>
          </reference>
        </references>
      </pivotArea>
    </chartFormat>
    <chartFormat chart="18" format="9">
      <pivotArea type="data" outline="0" fieldPosition="0">
        <references count="2">
          <reference field="4294967294" count="1" selected="0">
            <x v="0"/>
          </reference>
          <reference field="3" count="1" selected="0">
            <x v="6"/>
          </reference>
        </references>
      </pivotArea>
    </chartFormat>
    <chartFormat chart="18" format="10">
      <pivotArea type="data" outline="0" fieldPosition="0">
        <references count="2">
          <reference field="4294967294" count="1" selected="0">
            <x v="0"/>
          </reference>
          <reference field="3" count="1" selected="0">
            <x v="7"/>
          </reference>
        </references>
      </pivotArea>
    </chartFormat>
    <chartFormat chart="18"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35F872-F11B-4094-92A0-903F633BB728}" name="PivotTable27" cacheId="3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49:B65"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dataFields>
  <formats count="9">
    <format dxfId="1649">
      <pivotArea type="all" dataOnly="0" outline="0" fieldPosition="0"/>
    </format>
    <format dxfId="1650">
      <pivotArea outline="0" collapsedLevelsAreSubtotals="1" fieldPosition="0"/>
    </format>
    <format dxfId="1651">
      <pivotArea dataOnly="0" labelOnly="1" grandRow="1" outline="0" fieldPosition="0"/>
    </format>
    <format dxfId="1652">
      <pivotArea outline="0" collapsedLevelsAreSubtotals="1" fieldPosition="0"/>
    </format>
    <format dxfId="1648">
      <pivotArea type="all" dataOnly="0" outline="0" fieldPosition="0"/>
    </format>
    <format dxfId="1647">
      <pivotArea outline="0" collapsedLevelsAreSubtotals="1" fieldPosition="0"/>
    </format>
    <format dxfId="1646">
      <pivotArea field="2" type="button" dataOnly="0" labelOnly="1" outline="0" axis="axisRow" fieldPosition="0"/>
    </format>
    <format dxfId="1645">
      <pivotArea dataOnly="0" labelOnly="1" fieldPosition="0">
        <references count="1">
          <reference field="2" count="0"/>
        </references>
      </pivotArea>
    </format>
    <format dxfId="1644">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2706D0-177D-4D22-A01D-D167666CE773}" name="PivotTable26" cacheId="3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5:C39"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13">
    <format dxfId="1661">
      <pivotArea type="all" dataOnly="0" outline="0" fieldPosition="0"/>
    </format>
    <format dxfId="1662">
      <pivotArea outline="0" collapsedLevelsAreSubtotals="1" fieldPosition="0"/>
    </format>
    <format dxfId="1663">
      <pivotArea dataOnly="0" labelOnly="1" grandRow="1" outline="0" fieldPosition="0"/>
    </format>
    <format dxfId="1664">
      <pivotArea dataOnly="0" labelOnly="1" outline="0" axis="axisValues" fieldPosition="0"/>
    </format>
    <format dxfId="1665">
      <pivotArea outline="0" collapsedLevelsAreSubtotals="1" fieldPosition="0"/>
    </format>
    <format dxfId="1660">
      <pivotArea type="all" dataOnly="0" outline="0" fieldPosition="0"/>
    </format>
    <format dxfId="1659">
      <pivotArea outline="0" collapsedLevelsAreSubtotals="1" fieldPosition="0"/>
    </format>
    <format dxfId="1658">
      <pivotArea type="origin" dataOnly="0" labelOnly="1" outline="0" fieldPosition="0"/>
    </format>
    <format dxfId="1657">
      <pivotArea field="0" type="button" dataOnly="0" labelOnly="1" outline="0" axis="axisCol" fieldPosition="0"/>
    </format>
    <format dxfId="1656">
      <pivotArea type="topRight" dataOnly="0" labelOnly="1" outline="0" fieldPosition="0"/>
    </format>
    <format dxfId="1655">
      <pivotArea field="5" type="button" dataOnly="0" labelOnly="1" outline="0" axis="axisRow" fieldPosition="0"/>
    </format>
    <format dxfId="1654">
      <pivotArea dataOnly="0" labelOnly="1" fieldPosition="0">
        <references count="1">
          <reference field="5" count="2">
            <x v="1"/>
            <x v="2"/>
          </reference>
        </references>
      </pivotArea>
    </format>
    <format dxfId="1653">
      <pivotArea dataOnly="0" labelOnly="1" fieldPosition="0">
        <references count="1">
          <reference field="0" count="0"/>
        </references>
      </pivotArea>
    </format>
  </formats>
  <chartFormats count="8">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7" format="2" series="1">
      <pivotArea type="data" outline="0" fieldPosition="0">
        <references count="2">
          <reference field="4294967294" count="1" selected="0">
            <x v="0"/>
          </reference>
          <reference field="0" count="1" selected="0">
            <x v="0"/>
          </reference>
        </references>
      </pivotArea>
    </chartFormat>
    <chartFormat chart="7" format="3"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203B1B-2B1C-4C6D-A99F-24B256646087}" name="PivotTable25" cacheId="34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21:B2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72"/>
  </dataFields>
  <formats count="7">
    <format dxfId="1573">
      <pivotArea type="all" dataOnly="0" outline="0" fieldPosition="0"/>
    </format>
    <format dxfId="1574">
      <pivotArea outline="0" collapsedLevelsAreSubtotals="1" fieldPosition="0"/>
    </format>
    <format dxfId="1575">
      <pivotArea field="0" type="button" dataOnly="0" labelOnly="1" outline="0" axis="axisRow" fieldPosition="0"/>
    </format>
    <format dxfId="1576">
      <pivotArea dataOnly="0" labelOnly="1" fieldPosition="0">
        <references count="1">
          <reference field="0" count="0"/>
        </references>
      </pivotArea>
    </format>
    <format dxfId="1577">
      <pivotArea dataOnly="0" labelOnly="1" grandRow="1" outline="0" fieldPosition="0"/>
    </format>
    <format dxfId="1578">
      <pivotArea dataOnly="0" labelOnly="1" outline="0" axis="axisValues" fieldPosition="0"/>
    </format>
    <format dxfId="1579">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2DEB82-8C95-4D0D-A73A-839D33009FD8}" name="PivotTable24"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0"/>
    <dataField name="Count of Item Identifier" fld="1" subtotal="count" baseField="0" baseItem="0"/>
    <dataField name="Average of Rating" fld="11" subtotal="average" baseField="0" baseItem="3"/>
  </dataFields>
  <formats count="6">
    <format dxfId="1671">
      <pivotArea type="all" dataOnly="0" outline="0" fieldPosition="0"/>
    </format>
    <format dxfId="1670">
      <pivotArea outline="0" collapsedLevelsAreSubtotals="1" fieldPosition="0"/>
    </format>
    <format dxfId="1669">
      <pivotArea dataOnly="0" labelOnly="1" outline="0" fieldPosition="0">
        <references count="1">
          <reference field="4294967294" count="4">
            <x v="0"/>
            <x v="1"/>
            <x v="2"/>
            <x v="3"/>
          </reference>
        </references>
      </pivotArea>
    </format>
    <format dxfId="1668">
      <pivotArea type="all" dataOnly="0" outline="0" fieldPosition="0"/>
    </format>
    <format dxfId="1667">
      <pivotArea outline="0" collapsedLevelsAreSubtotals="1" fieldPosition="0"/>
    </format>
    <format dxfId="1666">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3DC27F5-8284-4781-8B34-1A7DA7C77C01}" sourceName="Outlet Size">
  <pivotTables>
    <pivotTable tabId="2" name="PivotTable24"/>
    <pivotTable tabId="2" name="PivotTable25"/>
    <pivotTable tabId="2" name="PivotTable26"/>
    <pivotTable tabId="2" name="PivotTable27"/>
    <pivotTable tabId="2" name="PivotTable28"/>
    <pivotTable tabId="2" name="PivotTable29"/>
    <pivotTable tabId="2" name="PivotTable30"/>
    <pivotTable tabId="2" name="PivotTable35"/>
    <pivotTable tabId="2" name="PivotTable36"/>
    <pivotTable tabId="2" name="PivotTable37"/>
  </pivotTables>
  <data>
    <tabular pivotCacheId="10674004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83FEFE0-249D-4184-9F29-4367DE6F1256}" sourceName="Outlet Location Type">
  <pivotTables>
    <pivotTable tabId="2" name="PivotTable25"/>
    <pivotTable tabId="2" name="PivotTable24"/>
    <pivotTable tabId="2" name="PivotTable26"/>
    <pivotTable tabId="2" name="PivotTable27"/>
    <pivotTable tabId="2" name="PivotTable28"/>
    <pivotTable tabId="2" name="PivotTable29"/>
    <pivotTable tabId="2" name="PivotTable30"/>
    <pivotTable tabId="2" name="PivotTable35"/>
    <pivotTable tabId="2" name="PivotTable36"/>
    <pivotTable tabId="2" name="PivotTable37"/>
  </pivotTables>
  <data>
    <tabular pivotCacheId="1067400474" crossFilter="showItemsWithNoData">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2571BFF-0371-4C6C-90DD-1938DB28FB4B}" sourceName="Item Type">
  <pivotTables>
    <pivotTable tabId="2" name="PivotTable27"/>
    <pivotTable tabId="2" name="PivotTable24"/>
    <pivotTable tabId="2" name="PivotTable25"/>
    <pivotTable tabId="2" name="PivotTable26"/>
    <pivotTable tabId="2" name="PivotTable28"/>
    <pivotTable tabId="2" name="PivotTable29"/>
    <pivotTable tabId="2" name="PivotTable30"/>
    <pivotTable tabId="2" name="PivotTable35"/>
    <pivotTable tabId="2" name="PivotTable36"/>
    <pivotTable tabId="2" name="PivotTable37"/>
  </pivotTables>
  <data>
    <tabular pivotCacheId="106740047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40C1298-542C-41AE-9986-1BA8E0791640}" cache="Slicer_Outlet_Size" caption="Outlet Size" rowHeight="260350"/>
  <slicer name="Outlet Location Type" xr10:uid="{53D2790B-184A-4E49-A478-58FC29D1DC0A}" cache="Slicer_Outlet_Location_Type" caption="Outlet Location Type" rowHeight="260350"/>
  <slicer name="Item Type" xr10:uid="{CA852134-4CD3-42B1-8C3E-DE4171821EFB}"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E11736D-61E9-46C4-B7C6-FB4DDE90DAF3}" cache="Slicer_Outlet_Size" caption="Outlet Size" style="Blinkit Analysis" rowHeight="260350"/>
  <slicer name="Outlet Location Type 1" xr10:uid="{0CB0419C-4FA9-4CF0-A193-2BCB0D789E4F}" cache="Slicer_Outlet_Location_Type" caption="Outlet Location " style="Blinkit Analysis" rowHeight="260350"/>
  <slicer name="Item Type 1" xr10:uid="{5D55BB2A-2942-48F3-A6BA-AB002F20814F}"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5277E-F24A-4113-B4EC-CC443098A961}">
  <dimension ref="A1:K140"/>
  <sheetViews>
    <sheetView zoomScale="71" workbookViewId="0"/>
  </sheetViews>
  <sheetFormatPr defaultRowHeight="15.6" x14ac:dyDescent="0.3"/>
  <cols>
    <col min="1" max="1" width="17.296875" bestFit="1" customWidth="1"/>
    <col min="2" max="2" width="20.8984375" bestFit="1" customWidth="1"/>
    <col min="3" max="3" width="7.3984375" bestFit="1" customWidth="1"/>
    <col min="4" max="4" width="15.69921875" bestFit="1" customWidth="1"/>
  </cols>
  <sheetData>
    <row r="1" spans="1:4" ht="16.2" thickBot="1" x14ac:dyDescent="0.35"/>
    <row r="2" spans="1:4" ht="16.2" thickBot="1" x14ac:dyDescent="0.35">
      <c r="A2" s="7" t="s">
        <v>1618</v>
      </c>
      <c r="B2" s="8"/>
      <c r="C2" s="8"/>
      <c r="D2" s="9"/>
    </row>
    <row r="3" spans="1:4" ht="16.2" thickBot="1" x14ac:dyDescent="0.35">
      <c r="A3" s="13" t="s">
        <v>1610</v>
      </c>
      <c r="B3" s="14" t="s">
        <v>1611</v>
      </c>
      <c r="C3" s="14" t="s">
        <v>1612</v>
      </c>
      <c r="D3" s="15" t="s">
        <v>1613</v>
      </c>
    </row>
    <row r="4" spans="1:4" ht="16.2" thickBot="1" x14ac:dyDescent="0.35">
      <c r="A4" s="10">
        <v>1201681.4928000034</v>
      </c>
      <c r="B4" s="11">
        <v>140.99278338613203</v>
      </c>
      <c r="C4" s="11">
        <v>8523</v>
      </c>
      <c r="D4" s="12">
        <v>3.9658570925731196</v>
      </c>
    </row>
    <row r="5" spans="1:4" x14ac:dyDescent="0.3">
      <c r="A5" s="1"/>
      <c r="B5" s="2"/>
      <c r="C5" s="2"/>
      <c r="D5" s="3"/>
    </row>
    <row r="6" spans="1:4" x14ac:dyDescent="0.3">
      <c r="A6" s="1"/>
      <c r="B6" s="2"/>
      <c r="C6" s="2"/>
      <c r="D6" s="3"/>
    </row>
    <row r="7" spans="1:4" x14ac:dyDescent="0.3">
      <c r="A7" s="1"/>
      <c r="B7" s="2"/>
      <c r="C7" s="2"/>
      <c r="D7" s="3"/>
    </row>
    <row r="8" spans="1:4" x14ac:dyDescent="0.3">
      <c r="A8" s="1" t="s">
        <v>1615</v>
      </c>
      <c r="B8" s="2" t="s">
        <v>1614</v>
      </c>
      <c r="C8" s="2" t="s">
        <v>1616</v>
      </c>
      <c r="D8" s="3" t="s">
        <v>1617</v>
      </c>
    </row>
    <row r="9" spans="1:4" ht="16.2" thickBot="1" x14ac:dyDescent="0.35">
      <c r="A9" s="16">
        <f>GETPIVOTDATA("Sum of Sales",$A$3)</f>
        <v>1201681.4928000034</v>
      </c>
      <c r="B9" s="4">
        <f>GETPIVOTDATA("Average of Sales",$A$3)</f>
        <v>140.99278338613203</v>
      </c>
      <c r="C9" s="5">
        <f>GETPIVOTDATA("Count of Item Identifier",$A$3)</f>
        <v>8523</v>
      </c>
      <c r="D9" s="6">
        <f>GETPIVOTDATA("Average of Rating",$A$3)</f>
        <v>3.9658570925731196</v>
      </c>
    </row>
    <row r="19" spans="1:6" ht="16.2" thickBot="1" x14ac:dyDescent="0.35"/>
    <row r="20" spans="1:6" ht="16.2" thickBot="1" x14ac:dyDescent="0.35">
      <c r="A20" s="37" t="s">
        <v>1620</v>
      </c>
      <c r="B20" s="23"/>
      <c r="C20" s="23"/>
      <c r="D20" s="23"/>
      <c r="E20" s="23"/>
      <c r="F20" s="24"/>
    </row>
    <row r="21" spans="1:6" ht="16.2" thickBot="1" x14ac:dyDescent="0.35">
      <c r="A21" s="25" t="s">
        <v>1619</v>
      </c>
      <c r="B21" s="27" t="s">
        <v>1610</v>
      </c>
      <c r="C21" s="2"/>
      <c r="D21" s="2"/>
      <c r="E21" s="2"/>
      <c r="F21" s="3"/>
    </row>
    <row r="22" spans="1:6" x14ac:dyDescent="0.3">
      <c r="A22" s="26" t="s">
        <v>17</v>
      </c>
      <c r="B22" s="28">
        <v>776319.68840000057</v>
      </c>
      <c r="C22" s="2"/>
      <c r="D22" s="2"/>
      <c r="E22" s="2"/>
      <c r="F22" s="3"/>
    </row>
    <row r="23" spans="1:6" ht="16.2" thickBot="1" x14ac:dyDescent="0.35">
      <c r="A23" s="18" t="s">
        <v>10</v>
      </c>
      <c r="B23" s="29">
        <v>425361.8043999995</v>
      </c>
      <c r="C23" s="2"/>
      <c r="D23" s="2"/>
      <c r="E23" s="2"/>
      <c r="F23" s="3"/>
    </row>
    <row r="24" spans="1:6" x14ac:dyDescent="0.3">
      <c r="C24" s="2"/>
      <c r="D24" s="2"/>
      <c r="E24" s="2"/>
      <c r="F24" s="3"/>
    </row>
    <row r="25" spans="1:6" x14ac:dyDescent="0.3">
      <c r="A25" s="1"/>
      <c r="B25" s="2"/>
      <c r="C25" s="2"/>
      <c r="D25" s="2"/>
      <c r="E25" s="2"/>
      <c r="F25" s="3"/>
    </row>
    <row r="26" spans="1:6" x14ac:dyDescent="0.3">
      <c r="A26" s="1"/>
      <c r="B26" s="2"/>
      <c r="C26" s="2"/>
      <c r="D26" s="2"/>
      <c r="E26" s="2"/>
      <c r="F26" s="3"/>
    </row>
    <row r="27" spans="1:6" x14ac:dyDescent="0.3">
      <c r="A27" s="1"/>
      <c r="B27" s="2"/>
      <c r="C27" s="2"/>
      <c r="D27" s="2"/>
      <c r="E27" s="2"/>
      <c r="F27" s="3"/>
    </row>
    <row r="28" spans="1:6" x14ac:dyDescent="0.3">
      <c r="A28" s="1"/>
      <c r="B28" s="2"/>
      <c r="C28" s="2"/>
      <c r="D28" s="2"/>
      <c r="E28" s="2"/>
      <c r="F28" s="3"/>
    </row>
    <row r="29" spans="1:6" x14ac:dyDescent="0.3">
      <c r="A29" s="1"/>
      <c r="B29" s="2"/>
      <c r="C29" s="2"/>
      <c r="D29" s="2"/>
      <c r="E29" s="2"/>
      <c r="F29" s="3"/>
    </row>
    <row r="30" spans="1:6" x14ac:dyDescent="0.3">
      <c r="A30" s="1"/>
      <c r="B30" s="2"/>
      <c r="C30" s="2"/>
      <c r="D30" s="2"/>
      <c r="E30" s="2"/>
      <c r="F30" s="3"/>
    </row>
    <row r="31" spans="1:6" ht="16.2" thickBot="1" x14ac:dyDescent="0.35">
      <c r="A31" s="20"/>
      <c r="B31" s="5"/>
      <c r="C31" s="5"/>
      <c r="D31" s="5"/>
      <c r="E31" s="5"/>
      <c r="F31" s="21"/>
    </row>
    <row r="33" spans="1:10" ht="16.2" thickBot="1" x14ac:dyDescent="0.35"/>
    <row r="34" spans="1:10" ht="16.2" thickBot="1" x14ac:dyDescent="0.35">
      <c r="A34" s="37" t="s">
        <v>1623</v>
      </c>
      <c r="B34" s="23"/>
      <c r="C34" s="23"/>
      <c r="D34" s="23"/>
      <c r="E34" s="23"/>
      <c r="F34" s="23"/>
      <c r="G34" s="23"/>
      <c r="H34" s="24"/>
    </row>
    <row r="35" spans="1:10" ht="16.2" thickBot="1" x14ac:dyDescent="0.35">
      <c r="A35" s="25" t="s">
        <v>1610</v>
      </c>
      <c r="B35" s="25" t="s">
        <v>1621</v>
      </c>
      <c r="C35" s="27"/>
      <c r="D35" s="2"/>
      <c r="E35" s="2"/>
      <c r="F35" s="2"/>
      <c r="G35" s="2"/>
      <c r="H35" s="3"/>
    </row>
    <row r="36" spans="1:10" ht="16.2" thickBot="1" x14ac:dyDescent="0.35">
      <c r="A36" s="25" t="s">
        <v>1619</v>
      </c>
      <c r="B36" s="13" t="s">
        <v>10</v>
      </c>
      <c r="C36" s="15" t="s">
        <v>17</v>
      </c>
      <c r="D36" s="2"/>
      <c r="E36" s="2"/>
      <c r="F36" s="2"/>
      <c r="G36" s="2"/>
      <c r="H36" s="3"/>
    </row>
    <row r="37" spans="1:10" ht="16.2" thickBot="1" x14ac:dyDescent="0.35">
      <c r="A37" s="19" t="s">
        <v>14</v>
      </c>
      <c r="B37" s="30">
        <v>121349.89940000001</v>
      </c>
      <c r="C37" s="31">
        <v>215047.9126000001</v>
      </c>
      <c r="D37" s="2"/>
      <c r="E37" s="2"/>
      <c r="F37" s="2"/>
      <c r="G37" s="2"/>
      <c r="H37" s="3"/>
    </row>
    <row r="38" spans="1:10" x14ac:dyDescent="0.3">
      <c r="A38" s="26" t="s">
        <v>34</v>
      </c>
      <c r="B38" s="35">
        <v>138685.86819999994</v>
      </c>
      <c r="C38" s="34">
        <v>254464.77940000014</v>
      </c>
      <c r="D38" s="2"/>
      <c r="E38" s="2"/>
      <c r="F38" s="2"/>
      <c r="G38" s="2"/>
      <c r="H38" s="3"/>
    </row>
    <row r="39" spans="1:10" ht="16.2" thickBot="1" x14ac:dyDescent="0.35">
      <c r="A39" s="18" t="s">
        <v>21</v>
      </c>
      <c r="B39" s="32">
        <v>165326.0368</v>
      </c>
      <c r="C39" s="33">
        <v>306806.99640000012</v>
      </c>
      <c r="D39" s="2"/>
      <c r="E39" s="2"/>
      <c r="F39" s="2"/>
      <c r="G39" s="2"/>
      <c r="H39" s="3"/>
    </row>
    <row r="40" spans="1:10" x14ac:dyDescent="0.3">
      <c r="A40" s="1"/>
      <c r="B40" s="2"/>
      <c r="C40" s="2"/>
      <c r="D40" s="2"/>
      <c r="E40" s="2"/>
      <c r="F40" s="2"/>
      <c r="G40" s="2"/>
      <c r="H40" s="3"/>
    </row>
    <row r="41" spans="1:10" x14ac:dyDescent="0.3">
      <c r="A41" s="1"/>
      <c r="B41" s="2"/>
      <c r="C41" s="2"/>
      <c r="D41" s="2"/>
      <c r="E41" s="2"/>
      <c r="F41" s="2"/>
      <c r="G41" s="2"/>
      <c r="H41" s="3"/>
    </row>
    <row r="42" spans="1:10" x14ac:dyDescent="0.3">
      <c r="A42" s="1"/>
      <c r="B42" s="2"/>
      <c r="C42" s="2"/>
      <c r="D42" s="2"/>
      <c r="E42" s="2"/>
      <c r="F42" s="2"/>
      <c r="G42" s="2"/>
      <c r="H42" s="3"/>
    </row>
    <row r="43" spans="1:10" x14ac:dyDescent="0.3">
      <c r="A43" s="1"/>
      <c r="B43" s="2"/>
      <c r="C43" s="2"/>
      <c r="D43" s="2"/>
      <c r="E43" s="2"/>
      <c r="F43" s="2"/>
      <c r="G43" s="2"/>
      <c r="H43" s="3"/>
    </row>
    <row r="44" spans="1:10" ht="16.2" thickBot="1" x14ac:dyDescent="0.35">
      <c r="A44" s="20"/>
      <c r="B44" s="5"/>
      <c r="C44" s="5"/>
      <c r="D44" s="5"/>
      <c r="E44" s="5"/>
      <c r="F44" s="5"/>
      <c r="G44" s="5"/>
      <c r="H44" s="21"/>
    </row>
    <row r="46" spans="1:10" ht="16.2" thickBot="1" x14ac:dyDescent="0.35"/>
    <row r="47" spans="1:10" x14ac:dyDescent="0.3">
      <c r="A47" s="37" t="s">
        <v>1622</v>
      </c>
      <c r="B47" s="23"/>
      <c r="C47" s="23"/>
      <c r="D47" s="23"/>
      <c r="E47" s="23"/>
      <c r="F47" s="23"/>
      <c r="G47" s="23"/>
      <c r="H47" s="23"/>
      <c r="I47" s="23"/>
      <c r="J47" s="24"/>
    </row>
    <row r="48" spans="1:10" ht="16.2" thickBot="1" x14ac:dyDescent="0.35">
      <c r="A48" s="1"/>
      <c r="B48" s="2"/>
      <c r="C48" s="2"/>
      <c r="D48" s="2"/>
      <c r="E48" s="2"/>
      <c r="F48" s="2"/>
      <c r="G48" s="2"/>
      <c r="H48" s="2"/>
      <c r="I48" s="2"/>
      <c r="J48" s="3"/>
    </row>
    <row r="49" spans="1:10" ht="16.2" thickBot="1" x14ac:dyDescent="0.35">
      <c r="A49" s="25" t="s">
        <v>1619</v>
      </c>
      <c r="B49" s="27" t="s">
        <v>1610</v>
      </c>
      <c r="C49" s="2"/>
      <c r="D49" s="2"/>
      <c r="E49" s="2"/>
      <c r="F49" s="2"/>
      <c r="G49" s="2"/>
      <c r="H49" s="2"/>
      <c r="I49" s="2"/>
      <c r="J49" s="3"/>
    </row>
    <row r="50" spans="1:10" x14ac:dyDescent="0.3">
      <c r="A50" s="26" t="s">
        <v>153</v>
      </c>
      <c r="B50" s="28">
        <v>9077.869999999999</v>
      </c>
      <c r="C50" s="2"/>
      <c r="D50" s="2"/>
      <c r="E50" s="2"/>
      <c r="F50" s="2"/>
      <c r="G50" s="2"/>
      <c r="H50" s="2"/>
      <c r="I50" s="2"/>
      <c r="J50" s="3"/>
    </row>
    <row r="51" spans="1:10" x14ac:dyDescent="0.3">
      <c r="A51" s="17" t="s">
        <v>74</v>
      </c>
      <c r="B51" s="36">
        <v>15596.696600000001</v>
      </c>
      <c r="C51" s="2"/>
      <c r="D51" s="2"/>
      <c r="E51" s="2"/>
      <c r="F51" s="2"/>
      <c r="G51" s="2"/>
      <c r="H51" s="2"/>
      <c r="I51" s="2"/>
      <c r="J51" s="3"/>
    </row>
    <row r="52" spans="1:10" x14ac:dyDescent="0.3">
      <c r="A52" s="17" t="s">
        <v>159</v>
      </c>
      <c r="B52" s="36">
        <v>21880.027399999992</v>
      </c>
      <c r="C52" s="2"/>
      <c r="D52" s="2"/>
      <c r="E52" s="2"/>
      <c r="F52" s="2"/>
      <c r="G52" s="2"/>
      <c r="H52" s="2"/>
      <c r="I52" s="2"/>
      <c r="J52" s="3"/>
    </row>
    <row r="53" spans="1:10" x14ac:dyDescent="0.3">
      <c r="A53" s="17" t="s">
        <v>64</v>
      </c>
      <c r="B53" s="36">
        <v>22451.891599999999</v>
      </c>
      <c r="C53" s="2"/>
      <c r="D53" s="2"/>
      <c r="E53" s="2"/>
      <c r="F53" s="2"/>
      <c r="G53" s="2"/>
      <c r="H53" s="2"/>
      <c r="I53" s="2"/>
      <c r="J53" s="3"/>
    </row>
    <row r="54" spans="1:10" x14ac:dyDescent="0.3">
      <c r="A54" s="17" t="s">
        <v>61</v>
      </c>
      <c r="B54" s="36">
        <v>29334.680599999996</v>
      </c>
      <c r="C54" s="2"/>
      <c r="D54" s="2"/>
      <c r="E54" s="2"/>
      <c r="F54" s="2"/>
      <c r="G54" s="2"/>
      <c r="H54" s="2"/>
      <c r="I54" s="2"/>
      <c r="J54" s="3"/>
    </row>
    <row r="55" spans="1:10" x14ac:dyDescent="0.3">
      <c r="A55" s="17" t="s">
        <v>57</v>
      </c>
      <c r="B55" s="36">
        <v>35379.119800000015</v>
      </c>
      <c r="C55" s="2"/>
      <c r="D55" s="2"/>
      <c r="E55" s="2"/>
      <c r="F55" s="2"/>
      <c r="G55" s="2"/>
      <c r="H55" s="2"/>
      <c r="I55" s="2"/>
      <c r="J55" s="3"/>
    </row>
    <row r="56" spans="1:10" x14ac:dyDescent="0.3">
      <c r="A56" s="17" t="s">
        <v>32</v>
      </c>
      <c r="B56" s="36">
        <v>58514.166999999987</v>
      </c>
      <c r="C56" s="2"/>
      <c r="D56" s="2"/>
      <c r="E56" s="2"/>
      <c r="F56" s="2"/>
      <c r="G56" s="2"/>
      <c r="H56" s="2"/>
      <c r="I56" s="2"/>
      <c r="J56" s="3"/>
    </row>
    <row r="57" spans="1:10" x14ac:dyDescent="0.3">
      <c r="A57" s="17" t="s">
        <v>54</v>
      </c>
      <c r="B57" s="36">
        <v>59449.863799999992</v>
      </c>
      <c r="C57" s="2"/>
      <c r="D57" s="2"/>
      <c r="E57" s="2"/>
      <c r="F57" s="2"/>
      <c r="G57" s="2"/>
      <c r="H57" s="2"/>
      <c r="I57" s="2"/>
      <c r="J57" s="3"/>
    </row>
    <row r="58" spans="1:10" x14ac:dyDescent="0.3">
      <c r="A58" s="17" t="s">
        <v>19</v>
      </c>
      <c r="B58" s="36">
        <v>68025.838800000012</v>
      </c>
      <c r="C58" s="2"/>
      <c r="D58" s="2"/>
      <c r="E58" s="2"/>
      <c r="F58" s="2"/>
      <c r="G58" s="2"/>
      <c r="H58" s="2"/>
      <c r="I58" s="2"/>
      <c r="J58" s="3"/>
    </row>
    <row r="59" spans="1:10" x14ac:dyDescent="0.3">
      <c r="A59" s="17" t="s">
        <v>95</v>
      </c>
      <c r="B59" s="36">
        <v>81894.736400000009</v>
      </c>
      <c r="C59" s="2"/>
      <c r="D59" s="2"/>
      <c r="E59" s="2"/>
      <c r="F59" s="2"/>
      <c r="G59" s="2"/>
      <c r="H59" s="2"/>
      <c r="I59" s="2"/>
      <c r="J59" s="3"/>
    </row>
    <row r="60" spans="1:10" x14ac:dyDescent="0.3">
      <c r="A60" s="17" t="s">
        <v>28</v>
      </c>
      <c r="B60" s="36">
        <v>90706.728999999992</v>
      </c>
      <c r="C60" s="2"/>
      <c r="D60" s="2"/>
      <c r="E60" s="2"/>
      <c r="F60" s="2"/>
      <c r="G60" s="2"/>
      <c r="H60" s="2"/>
      <c r="I60" s="2"/>
      <c r="J60" s="3"/>
    </row>
    <row r="61" spans="1:10" x14ac:dyDescent="0.3">
      <c r="A61" s="17" t="s">
        <v>67</v>
      </c>
      <c r="B61" s="36">
        <v>101276.46159999995</v>
      </c>
      <c r="C61" s="2"/>
      <c r="D61" s="2"/>
      <c r="E61" s="2"/>
      <c r="F61" s="2"/>
      <c r="G61" s="2"/>
      <c r="H61" s="2"/>
      <c r="I61" s="2"/>
      <c r="J61" s="3"/>
    </row>
    <row r="62" spans="1:10" x14ac:dyDescent="0.3">
      <c r="A62" s="17" t="s">
        <v>24</v>
      </c>
      <c r="B62" s="36">
        <v>118558.88140000009</v>
      </c>
      <c r="C62" s="2"/>
      <c r="D62" s="2"/>
      <c r="E62" s="2"/>
      <c r="F62" s="2"/>
      <c r="G62" s="2"/>
      <c r="H62" s="2"/>
      <c r="I62" s="2"/>
      <c r="J62" s="3"/>
    </row>
    <row r="63" spans="1:10" x14ac:dyDescent="0.3">
      <c r="A63" s="17" t="s">
        <v>42</v>
      </c>
      <c r="B63" s="36">
        <v>135976.52539999998</v>
      </c>
      <c r="C63" s="2"/>
      <c r="D63" s="2"/>
      <c r="E63" s="2"/>
      <c r="F63" s="2"/>
      <c r="G63" s="2"/>
      <c r="H63" s="2"/>
      <c r="I63" s="2"/>
      <c r="J63" s="3"/>
    </row>
    <row r="64" spans="1:10" x14ac:dyDescent="0.3">
      <c r="A64" s="17" t="s">
        <v>48</v>
      </c>
      <c r="B64" s="36">
        <v>175433.92240000021</v>
      </c>
      <c r="C64" s="2"/>
      <c r="D64" s="2"/>
      <c r="E64" s="2"/>
      <c r="F64" s="2"/>
      <c r="G64" s="2"/>
      <c r="H64" s="2"/>
      <c r="I64" s="2"/>
      <c r="J64" s="3"/>
    </row>
    <row r="65" spans="1:10" ht="16.2" thickBot="1" x14ac:dyDescent="0.35">
      <c r="A65" s="18" t="s">
        <v>12</v>
      </c>
      <c r="B65" s="29">
        <v>178124.08099999995</v>
      </c>
      <c r="C65" s="2"/>
      <c r="D65" s="2"/>
      <c r="E65" s="2"/>
      <c r="F65" s="2"/>
      <c r="G65" s="2"/>
      <c r="H65" s="2"/>
      <c r="I65" s="2"/>
      <c r="J65" s="3"/>
    </row>
    <row r="66" spans="1:10" ht="16.2" thickBot="1" x14ac:dyDescent="0.35">
      <c r="A66" s="20"/>
      <c r="B66" s="5"/>
      <c r="C66" s="5"/>
      <c r="D66" s="5"/>
      <c r="E66" s="5"/>
      <c r="F66" s="5"/>
      <c r="G66" s="5"/>
      <c r="H66" s="5"/>
      <c r="I66" s="5"/>
      <c r="J66" s="21"/>
    </row>
    <row r="69" spans="1:10" ht="16.2" thickBot="1" x14ac:dyDescent="0.35"/>
    <row r="70" spans="1:10" ht="16.2" thickBot="1" x14ac:dyDescent="0.35">
      <c r="A70" s="37" t="s">
        <v>1624</v>
      </c>
      <c r="B70" s="38"/>
      <c r="C70" s="38"/>
      <c r="D70" s="38"/>
      <c r="E70" s="38"/>
      <c r="F70" s="38"/>
      <c r="G70" s="38"/>
      <c r="H70" s="38"/>
      <c r="I70" s="38"/>
      <c r="J70" s="39"/>
    </row>
    <row r="71" spans="1:10" ht="16.2" thickBot="1" x14ac:dyDescent="0.35">
      <c r="A71" s="25" t="s">
        <v>1619</v>
      </c>
      <c r="B71" s="27" t="s">
        <v>1610</v>
      </c>
      <c r="C71" s="2"/>
      <c r="D71" s="2"/>
      <c r="E71" s="2"/>
      <c r="F71" s="2"/>
      <c r="G71" s="2"/>
      <c r="H71" s="2"/>
      <c r="I71" s="2"/>
      <c r="J71" s="3"/>
    </row>
    <row r="72" spans="1:10" x14ac:dyDescent="0.3">
      <c r="A72" s="26">
        <v>2011</v>
      </c>
      <c r="B72" s="28">
        <v>78131.566599999976</v>
      </c>
      <c r="C72" s="2"/>
      <c r="D72" s="2"/>
      <c r="E72" s="2"/>
      <c r="F72" s="2"/>
      <c r="G72" s="2"/>
      <c r="H72" s="2"/>
      <c r="I72" s="2"/>
      <c r="J72" s="3"/>
    </row>
    <row r="73" spans="1:10" x14ac:dyDescent="0.3">
      <c r="A73" s="17">
        <v>2012</v>
      </c>
      <c r="B73" s="36">
        <v>130476.85979999998</v>
      </c>
      <c r="C73" s="2"/>
      <c r="D73" s="2"/>
      <c r="E73" s="2"/>
      <c r="F73" s="2"/>
      <c r="G73" s="2"/>
      <c r="H73" s="2"/>
      <c r="I73" s="2"/>
      <c r="J73" s="3"/>
    </row>
    <row r="74" spans="1:10" x14ac:dyDescent="0.3">
      <c r="A74" s="17">
        <v>2014</v>
      </c>
      <c r="B74" s="36">
        <v>131809.01560000007</v>
      </c>
      <c r="C74" s="2"/>
      <c r="D74" s="2"/>
      <c r="E74" s="2"/>
      <c r="F74" s="2"/>
      <c r="G74" s="2"/>
      <c r="H74" s="2"/>
      <c r="I74" s="2"/>
      <c r="J74" s="3"/>
    </row>
    <row r="75" spans="1:10" x14ac:dyDescent="0.3">
      <c r="A75" s="17">
        <v>2015</v>
      </c>
      <c r="B75" s="36">
        <v>130942.78019999999</v>
      </c>
      <c r="C75" s="2"/>
      <c r="D75" s="2"/>
      <c r="E75" s="2"/>
      <c r="F75" s="2"/>
      <c r="G75" s="2"/>
      <c r="H75" s="2"/>
      <c r="I75" s="2"/>
      <c r="J75" s="3"/>
    </row>
    <row r="76" spans="1:10" x14ac:dyDescent="0.3">
      <c r="A76" s="17">
        <v>2016</v>
      </c>
      <c r="B76" s="36">
        <v>132113.36980000007</v>
      </c>
      <c r="C76" s="2"/>
      <c r="D76" s="2"/>
      <c r="E76" s="2"/>
      <c r="F76" s="2"/>
      <c r="G76" s="2"/>
      <c r="H76" s="2"/>
      <c r="I76" s="2"/>
      <c r="J76" s="3"/>
    </row>
    <row r="77" spans="1:10" x14ac:dyDescent="0.3">
      <c r="A77" s="17">
        <v>2017</v>
      </c>
      <c r="B77" s="36">
        <v>133103.90699999989</v>
      </c>
      <c r="C77" s="2"/>
      <c r="D77" s="2"/>
      <c r="E77" s="2"/>
      <c r="F77" s="2"/>
      <c r="G77" s="2"/>
      <c r="H77" s="2"/>
      <c r="I77" s="2"/>
      <c r="J77" s="3"/>
    </row>
    <row r="78" spans="1:10" x14ac:dyDescent="0.3">
      <c r="A78" s="17">
        <v>2018</v>
      </c>
      <c r="B78" s="36">
        <v>204522.25700000025</v>
      </c>
      <c r="C78" s="2"/>
      <c r="D78" s="2"/>
      <c r="E78" s="2"/>
      <c r="F78" s="2"/>
      <c r="G78" s="2"/>
      <c r="H78" s="2"/>
      <c r="I78" s="2"/>
      <c r="J78" s="3"/>
    </row>
    <row r="79" spans="1:10" x14ac:dyDescent="0.3">
      <c r="A79" s="17">
        <v>2020</v>
      </c>
      <c r="B79" s="36">
        <v>129103.96039999987</v>
      </c>
      <c r="C79" s="2"/>
      <c r="D79" s="2"/>
      <c r="E79" s="2"/>
      <c r="F79" s="2"/>
      <c r="G79" s="2"/>
      <c r="H79" s="2"/>
      <c r="I79" s="2"/>
      <c r="J79" s="3"/>
    </row>
    <row r="80" spans="1:10" ht="16.2" thickBot="1" x14ac:dyDescent="0.35">
      <c r="A80" s="18">
        <v>2022</v>
      </c>
      <c r="B80" s="29">
        <v>131477.77639999994</v>
      </c>
      <c r="C80" s="2"/>
      <c r="D80" s="2"/>
      <c r="E80" s="2"/>
      <c r="F80" s="2"/>
      <c r="G80" s="2"/>
      <c r="H80" s="2"/>
      <c r="I80" s="2"/>
      <c r="J80" s="3"/>
    </row>
    <row r="81" spans="1:10" x14ac:dyDescent="0.3">
      <c r="A81" s="1"/>
      <c r="B81" s="2"/>
      <c r="C81" s="2"/>
      <c r="D81" s="2"/>
      <c r="E81" s="2"/>
      <c r="F81" s="2"/>
      <c r="G81" s="2"/>
      <c r="H81" s="2"/>
      <c r="I81" s="2"/>
      <c r="J81" s="3"/>
    </row>
    <row r="82" spans="1:10" x14ac:dyDescent="0.3">
      <c r="A82" s="1"/>
      <c r="B82" s="2"/>
      <c r="C82" s="2"/>
      <c r="D82" s="2"/>
      <c r="E82" s="2"/>
      <c r="F82" s="2"/>
      <c r="G82" s="2"/>
      <c r="H82" s="2"/>
      <c r="I82" s="2"/>
      <c r="J82" s="3"/>
    </row>
    <row r="83" spans="1:10" x14ac:dyDescent="0.3">
      <c r="A83" s="1"/>
      <c r="B83" s="2"/>
      <c r="C83" s="2"/>
      <c r="D83" s="2"/>
      <c r="E83" s="2"/>
      <c r="F83" s="2"/>
      <c r="G83" s="2"/>
      <c r="H83" s="2"/>
      <c r="I83" s="2"/>
      <c r="J83" s="3"/>
    </row>
    <row r="84" spans="1:10" x14ac:dyDescent="0.3">
      <c r="A84" s="1"/>
      <c r="B84" s="2"/>
      <c r="C84" s="2"/>
      <c r="D84" s="2"/>
      <c r="E84" s="2"/>
      <c r="F84" s="2"/>
      <c r="G84" s="2"/>
      <c r="H84" s="2"/>
      <c r="I84" s="2"/>
      <c r="J84" s="3"/>
    </row>
    <row r="85" spans="1:10" ht="16.2" thickBot="1" x14ac:dyDescent="0.35">
      <c r="A85" s="20"/>
      <c r="B85" s="5"/>
      <c r="C85" s="5"/>
      <c r="D85" s="5"/>
      <c r="E85" s="5"/>
      <c r="F85" s="5"/>
      <c r="G85" s="5"/>
      <c r="H85" s="5"/>
      <c r="I85" s="5"/>
      <c r="J85" s="21"/>
    </row>
    <row r="87" spans="1:10" ht="16.2" thickBot="1" x14ac:dyDescent="0.35"/>
    <row r="90" spans="1:10" ht="16.2" thickBot="1" x14ac:dyDescent="0.35"/>
    <row r="91" spans="1:10" ht="16.2" thickBot="1" x14ac:dyDescent="0.35">
      <c r="A91" s="22" t="s">
        <v>1625</v>
      </c>
      <c r="B91" s="23"/>
      <c r="C91" s="23"/>
      <c r="D91" s="23"/>
      <c r="E91" s="23"/>
      <c r="F91" s="23"/>
      <c r="G91" s="23"/>
      <c r="H91" s="24"/>
    </row>
    <row r="92" spans="1:10" ht="16.2" thickBot="1" x14ac:dyDescent="0.35">
      <c r="A92" s="25" t="s">
        <v>1619</v>
      </c>
      <c r="B92" s="27" t="s">
        <v>1610</v>
      </c>
      <c r="C92" s="2"/>
      <c r="D92" s="2"/>
      <c r="E92" s="2"/>
      <c r="F92" s="2"/>
      <c r="G92" s="2"/>
      <c r="H92" s="3"/>
    </row>
    <row r="93" spans="1:10" x14ac:dyDescent="0.3">
      <c r="A93" s="26" t="s">
        <v>30</v>
      </c>
      <c r="B93" s="28">
        <v>248991.58600000024</v>
      </c>
      <c r="C93" s="2"/>
      <c r="D93" s="2"/>
      <c r="E93" s="2"/>
      <c r="F93" s="2"/>
      <c r="G93" s="2"/>
      <c r="H93" s="3"/>
    </row>
    <row r="94" spans="1:10" x14ac:dyDescent="0.3">
      <c r="A94" s="17" t="s">
        <v>15</v>
      </c>
      <c r="B94" s="36">
        <v>507895.7363999993</v>
      </c>
      <c r="C94" s="2"/>
      <c r="D94" s="2"/>
      <c r="E94" s="2"/>
      <c r="F94" s="2"/>
      <c r="G94" s="2"/>
      <c r="H94" s="3"/>
    </row>
    <row r="95" spans="1:10" ht="16.2" thickBot="1" x14ac:dyDescent="0.35">
      <c r="A95" s="18" t="s">
        <v>26</v>
      </c>
      <c r="B95" s="29">
        <v>444794.17039999936</v>
      </c>
      <c r="C95" s="2"/>
      <c r="D95" s="2"/>
      <c r="E95" s="2"/>
      <c r="F95" s="2"/>
      <c r="G95" s="2"/>
      <c r="H95" s="3"/>
    </row>
    <row r="96" spans="1:10" x14ac:dyDescent="0.3">
      <c r="A96" s="1"/>
      <c r="B96" s="2"/>
      <c r="C96" s="2"/>
      <c r="D96" s="2"/>
      <c r="E96" s="2"/>
      <c r="F96" s="2"/>
      <c r="G96" s="2"/>
      <c r="H96" s="3"/>
    </row>
    <row r="97" spans="1:11" x14ac:dyDescent="0.3">
      <c r="A97" s="1"/>
      <c r="B97" s="2"/>
      <c r="C97" s="2"/>
      <c r="D97" s="2"/>
      <c r="E97" s="2"/>
      <c r="F97" s="2"/>
      <c r="G97" s="2"/>
      <c r="H97" s="3"/>
    </row>
    <row r="98" spans="1:11" x14ac:dyDescent="0.3">
      <c r="A98" s="1"/>
      <c r="B98" s="2"/>
      <c r="C98" s="2"/>
      <c r="D98" s="2"/>
      <c r="E98" s="2"/>
      <c r="F98" s="2"/>
      <c r="G98" s="2"/>
      <c r="H98" s="3"/>
      <c r="J98" s="2"/>
    </row>
    <row r="99" spans="1:11" ht="16.2" thickBot="1" x14ac:dyDescent="0.35">
      <c r="A99" s="20"/>
      <c r="B99" s="5"/>
      <c r="C99" s="5"/>
      <c r="D99" s="5"/>
      <c r="E99" s="5"/>
      <c r="F99" s="5"/>
      <c r="G99" s="5"/>
      <c r="H99" s="21"/>
    </row>
    <row r="100" spans="1:11" x14ac:dyDescent="0.3">
      <c r="A100" s="2"/>
      <c r="B100" s="2"/>
      <c r="C100" s="2"/>
      <c r="D100" s="2"/>
      <c r="E100" s="2"/>
      <c r="F100" s="2"/>
      <c r="G100" s="2"/>
      <c r="H100" s="2"/>
    </row>
    <row r="101" spans="1:11" x14ac:dyDescent="0.3">
      <c r="A101" s="2"/>
      <c r="B101" s="2"/>
      <c r="C101" s="2"/>
      <c r="D101" s="2"/>
      <c r="E101" s="2"/>
      <c r="F101" s="2"/>
      <c r="G101" s="2"/>
      <c r="H101" s="2"/>
    </row>
    <row r="102" spans="1:11" x14ac:dyDescent="0.3">
      <c r="A102" s="2"/>
      <c r="B102" s="2"/>
      <c r="C102" s="2"/>
      <c r="D102" s="2"/>
      <c r="E102" s="2"/>
      <c r="F102" s="2"/>
      <c r="G102" s="2"/>
      <c r="H102" s="2"/>
    </row>
    <row r="103" spans="1:11" x14ac:dyDescent="0.3">
      <c r="A103" s="2"/>
      <c r="B103" s="2"/>
      <c r="C103" s="2"/>
      <c r="D103" s="2"/>
      <c r="E103" s="2"/>
      <c r="F103" s="2"/>
      <c r="G103" s="2"/>
      <c r="H103" s="2"/>
    </row>
    <row r="105" spans="1:11" ht="16.2" thickBot="1" x14ac:dyDescent="0.35"/>
    <row r="106" spans="1:11" x14ac:dyDescent="0.3">
      <c r="A106" s="37" t="s">
        <v>1627</v>
      </c>
      <c r="B106" s="23"/>
      <c r="C106" s="23"/>
      <c r="D106" s="23"/>
      <c r="E106" s="23"/>
      <c r="F106" s="23"/>
      <c r="G106" s="23"/>
      <c r="H106" s="23"/>
      <c r="I106" s="23"/>
      <c r="J106" s="23"/>
      <c r="K106" s="24"/>
    </row>
    <row r="107" spans="1:11" ht="16.2" thickBot="1" x14ac:dyDescent="0.35">
      <c r="A107" s="1"/>
      <c r="B107" s="2"/>
      <c r="C107" s="2"/>
      <c r="D107" s="2" t="s">
        <v>1626</v>
      </c>
      <c r="E107" s="2" t="s">
        <v>1608</v>
      </c>
      <c r="F107" s="2"/>
      <c r="G107" s="2"/>
      <c r="H107" s="2"/>
      <c r="I107" s="2"/>
      <c r="J107" s="2"/>
      <c r="K107" s="3"/>
    </row>
    <row r="108" spans="1:11" ht="16.2" thickBot="1" x14ac:dyDescent="0.35">
      <c r="A108" s="25" t="s">
        <v>1619</v>
      </c>
      <c r="B108" s="27" t="s">
        <v>1610</v>
      </c>
      <c r="C108" s="2"/>
      <c r="D108" s="2" t="str">
        <f>A109</f>
        <v>Tier 1</v>
      </c>
      <c r="E108" s="40">
        <f>GETPIVOTDATA("Sales",$A$108,"Outlet Location Type","Tier 3")</f>
        <v>472133.03319999954</v>
      </c>
      <c r="F108" s="2"/>
      <c r="G108" s="2"/>
      <c r="H108" s="2"/>
      <c r="I108" s="2"/>
      <c r="J108" s="2"/>
      <c r="K108" s="3"/>
    </row>
    <row r="109" spans="1:11" x14ac:dyDescent="0.3">
      <c r="A109" s="26" t="s">
        <v>14</v>
      </c>
      <c r="B109" s="28">
        <v>336397.81199999945</v>
      </c>
      <c r="C109" s="2"/>
      <c r="D109" s="2" t="str">
        <f>A110</f>
        <v>Tier 2</v>
      </c>
      <c r="E109" s="40">
        <f>GETPIVOTDATA("Sales",$A$108,"Outlet Location Type","Tier 2")</f>
        <v>393150.64759999956</v>
      </c>
      <c r="F109" s="2"/>
      <c r="G109" s="2"/>
      <c r="H109" s="2"/>
      <c r="I109" s="2"/>
      <c r="J109" s="2"/>
      <c r="K109" s="3"/>
    </row>
    <row r="110" spans="1:11" x14ac:dyDescent="0.3">
      <c r="A110" s="17" t="s">
        <v>34</v>
      </c>
      <c r="B110" s="36">
        <v>393150.64759999956</v>
      </c>
      <c r="C110" s="2"/>
      <c r="D110" s="2" t="str">
        <f>A111</f>
        <v>Tier 3</v>
      </c>
      <c r="E110" s="40">
        <f>GETPIVOTDATA("Sales",$A$108,"Outlet Location Type","Tier 1")</f>
        <v>336397.81199999945</v>
      </c>
      <c r="F110" s="2"/>
      <c r="G110" s="2"/>
      <c r="H110" s="2"/>
      <c r="I110" s="2"/>
      <c r="J110" s="2"/>
      <c r="K110" s="3"/>
    </row>
    <row r="111" spans="1:11" ht="16.2" thickBot="1" x14ac:dyDescent="0.35">
      <c r="A111" s="18" t="s">
        <v>21</v>
      </c>
      <c r="B111" s="29">
        <v>472133.03319999954</v>
      </c>
      <c r="C111" s="2"/>
      <c r="D111" s="2"/>
      <c r="E111" s="2"/>
      <c r="F111" s="2"/>
      <c r="G111" s="2"/>
      <c r="H111" s="2"/>
      <c r="I111" s="2"/>
      <c r="J111" s="2"/>
      <c r="K111" s="3"/>
    </row>
    <row r="112" spans="1:11" x14ac:dyDescent="0.3">
      <c r="A112" s="1"/>
      <c r="B112" s="2"/>
      <c r="C112" s="2"/>
      <c r="D112" s="2"/>
      <c r="E112" s="2"/>
      <c r="F112" s="2"/>
      <c r="G112" s="2"/>
      <c r="H112" s="2"/>
      <c r="I112" s="2"/>
      <c r="J112" s="2"/>
      <c r="K112" s="3"/>
    </row>
    <row r="113" spans="1:11" x14ac:dyDescent="0.3">
      <c r="A113" s="1"/>
      <c r="B113" s="2"/>
      <c r="C113" s="2"/>
      <c r="D113" s="2"/>
      <c r="E113" s="2"/>
      <c r="F113" s="2"/>
      <c r="G113" s="2"/>
      <c r="H113" s="2"/>
      <c r="I113" s="2"/>
      <c r="J113" s="2"/>
      <c r="K113" s="3"/>
    </row>
    <row r="114" spans="1:11" x14ac:dyDescent="0.3">
      <c r="A114" s="1"/>
      <c r="B114" s="2"/>
      <c r="C114" s="2"/>
      <c r="D114" s="2"/>
      <c r="E114" s="2"/>
      <c r="F114" s="2"/>
      <c r="G114" s="2"/>
      <c r="H114" s="2"/>
      <c r="I114" s="2"/>
      <c r="J114" s="2"/>
      <c r="K114" s="3"/>
    </row>
    <row r="115" spans="1:11" x14ac:dyDescent="0.3">
      <c r="A115" s="1"/>
      <c r="B115" s="2"/>
      <c r="C115" s="2"/>
      <c r="D115" s="2"/>
      <c r="E115" s="2"/>
      <c r="F115" s="2"/>
      <c r="G115" s="2"/>
      <c r="H115" s="2"/>
      <c r="I115" s="2"/>
      <c r="J115" s="2"/>
      <c r="K115" s="3"/>
    </row>
    <row r="116" spans="1:11" ht="16.2" thickBot="1" x14ac:dyDescent="0.35">
      <c r="A116" s="20"/>
      <c r="B116" s="5"/>
      <c r="C116" s="5"/>
      <c r="D116" s="5"/>
      <c r="E116" s="5"/>
      <c r="F116" s="5"/>
      <c r="G116" s="5"/>
      <c r="H116" s="5"/>
      <c r="I116" s="5"/>
      <c r="J116" s="5"/>
      <c r="K116" s="21"/>
    </row>
    <row r="119" spans="1:11" ht="16.2" thickBot="1" x14ac:dyDescent="0.35"/>
    <row r="120" spans="1:11" ht="16.2" thickBot="1" x14ac:dyDescent="0.35">
      <c r="A120" s="22" t="s">
        <v>1628</v>
      </c>
      <c r="B120" s="23"/>
      <c r="C120" s="23"/>
      <c r="D120" s="23"/>
      <c r="E120" s="23"/>
      <c r="F120" s="24"/>
    </row>
    <row r="121" spans="1:11" ht="16.2" thickBot="1" x14ac:dyDescent="0.35">
      <c r="A121" s="25" t="s">
        <v>1619</v>
      </c>
      <c r="B121" s="27" t="s">
        <v>1610</v>
      </c>
      <c r="C121" s="2"/>
      <c r="D121" s="2"/>
      <c r="E121" s="2"/>
      <c r="F121" s="3"/>
    </row>
    <row r="122" spans="1:11" x14ac:dyDescent="0.3">
      <c r="A122" s="26" t="s">
        <v>40</v>
      </c>
      <c r="B122" s="28">
        <v>151939.149</v>
      </c>
      <c r="C122" s="2"/>
      <c r="D122" s="2"/>
      <c r="E122" s="2"/>
      <c r="F122" s="3"/>
    </row>
    <row r="123" spans="1:11" x14ac:dyDescent="0.3">
      <c r="A123" s="17" t="s">
        <v>46</v>
      </c>
      <c r="B123" s="36">
        <v>130714.67460000006</v>
      </c>
      <c r="C123" s="2"/>
      <c r="D123" s="2"/>
      <c r="E123" s="2"/>
      <c r="F123" s="3"/>
    </row>
    <row r="124" spans="1:11" x14ac:dyDescent="0.3">
      <c r="A124" s="17" t="s">
        <v>22</v>
      </c>
      <c r="B124" s="36">
        <v>131477.77639999994</v>
      </c>
      <c r="C124" s="2"/>
      <c r="D124" s="2"/>
      <c r="E124" s="2"/>
      <c r="F124" s="3"/>
    </row>
    <row r="125" spans="1:11" ht="16.2" thickBot="1" x14ac:dyDescent="0.35">
      <c r="A125" s="18" t="s">
        <v>16</v>
      </c>
      <c r="B125" s="29">
        <v>787549.89280000131</v>
      </c>
      <c r="C125" s="2"/>
      <c r="D125" s="2"/>
      <c r="E125" s="2"/>
      <c r="F125" s="3"/>
    </row>
    <row r="126" spans="1:11" x14ac:dyDescent="0.3">
      <c r="A126" s="1"/>
      <c r="B126" s="2"/>
      <c r="C126" s="2"/>
      <c r="D126" s="2"/>
      <c r="E126" s="2"/>
      <c r="F126" s="3"/>
    </row>
    <row r="127" spans="1:11" ht="16.2" thickBot="1" x14ac:dyDescent="0.35">
      <c r="A127" s="1"/>
      <c r="B127" s="2"/>
      <c r="C127" s="2"/>
      <c r="D127" s="2"/>
      <c r="E127" s="2"/>
      <c r="F127" s="3"/>
    </row>
    <row r="128" spans="1:11" ht="16.2" thickBot="1" x14ac:dyDescent="0.35">
      <c r="A128" s="25" t="s">
        <v>1619</v>
      </c>
      <c r="B128" s="27" t="s">
        <v>1611</v>
      </c>
      <c r="C128" s="2"/>
      <c r="D128" s="2"/>
      <c r="E128" s="2"/>
      <c r="F128" s="3"/>
    </row>
    <row r="129" spans="1:6" x14ac:dyDescent="0.3">
      <c r="A129" s="26" t="s">
        <v>40</v>
      </c>
      <c r="B129" s="41">
        <v>140.29468975069253</v>
      </c>
      <c r="C129" s="2"/>
      <c r="D129" s="2"/>
      <c r="E129" s="2"/>
      <c r="F129" s="3"/>
    </row>
    <row r="130" spans="1:6" x14ac:dyDescent="0.3">
      <c r="A130" s="17" t="s">
        <v>46</v>
      </c>
      <c r="B130" s="42">
        <v>139.80179101604284</v>
      </c>
      <c r="C130" s="2"/>
      <c r="D130" s="2"/>
      <c r="E130" s="2"/>
      <c r="F130" s="3"/>
    </row>
    <row r="131" spans="1:6" x14ac:dyDescent="0.3">
      <c r="A131" s="17" t="s">
        <v>22</v>
      </c>
      <c r="B131" s="42">
        <v>141.67863836206891</v>
      </c>
      <c r="C131" s="2"/>
      <c r="D131" s="2"/>
      <c r="E131" s="2"/>
      <c r="F131" s="3"/>
    </row>
    <row r="132" spans="1:6" ht="16.2" thickBot="1" x14ac:dyDescent="0.35">
      <c r="A132" s="18" t="s">
        <v>16</v>
      </c>
      <c r="B132" s="43">
        <v>141.21389506903375</v>
      </c>
      <c r="C132" s="2"/>
      <c r="D132" s="2"/>
      <c r="E132" s="2"/>
      <c r="F132" s="3"/>
    </row>
    <row r="133" spans="1:6" x14ac:dyDescent="0.3">
      <c r="A133" s="1"/>
      <c r="B133" s="2"/>
      <c r="C133" s="2"/>
      <c r="D133" s="2"/>
      <c r="E133" s="2"/>
      <c r="F133" s="3"/>
    </row>
    <row r="134" spans="1:6" ht="16.2" thickBot="1" x14ac:dyDescent="0.35">
      <c r="A134" s="1"/>
      <c r="B134" s="2"/>
      <c r="C134" s="2"/>
      <c r="D134" s="2"/>
      <c r="E134" s="2"/>
      <c r="F134" s="3"/>
    </row>
    <row r="135" spans="1:6" ht="16.2" thickBot="1" x14ac:dyDescent="0.35">
      <c r="A135" s="25" t="s">
        <v>1619</v>
      </c>
      <c r="B135" s="27" t="s">
        <v>1612</v>
      </c>
      <c r="C135" s="2"/>
      <c r="D135" s="2"/>
      <c r="E135" s="2"/>
      <c r="F135" s="3"/>
    </row>
    <row r="136" spans="1:6" x14ac:dyDescent="0.3">
      <c r="A136" s="26" t="s">
        <v>40</v>
      </c>
      <c r="B136" s="44">
        <v>1083</v>
      </c>
      <c r="C136" s="2"/>
      <c r="D136" s="2"/>
      <c r="E136" s="2"/>
      <c r="F136" s="3"/>
    </row>
    <row r="137" spans="1:6" x14ac:dyDescent="0.3">
      <c r="A137" s="17" t="s">
        <v>46</v>
      </c>
      <c r="B137" s="45">
        <v>935</v>
      </c>
      <c r="C137" s="2"/>
      <c r="D137" s="2"/>
      <c r="E137" s="2"/>
      <c r="F137" s="3"/>
    </row>
    <row r="138" spans="1:6" x14ac:dyDescent="0.3">
      <c r="A138" s="17" t="s">
        <v>22</v>
      </c>
      <c r="B138" s="45">
        <v>928</v>
      </c>
      <c r="C138" s="2"/>
      <c r="D138" s="2"/>
      <c r="E138" s="2"/>
      <c r="F138" s="3"/>
    </row>
    <row r="139" spans="1:6" ht="16.2" thickBot="1" x14ac:dyDescent="0.35">
      <c r="A139" s="18" t="s">
        <v>16</v>
      </c>
      <c r="B139" s="46">
        <v>5577</v>
      </c>
      <c r="C139" s="2"/>
      <c r="D139" s="2"/>
      <c r="E139" s="2"/>
      <c r="F139" s="3"/>
    </row>
    <row r="140" spans="1:6" ht="16.2" thickBot="1" x14ac:dyDescent="0.35">
      <c r="A140" s="20"/>
      <c r="B140" s="5"/>
      <c r="C140" s="5"/>
      <c r="D140" s="5"/>
      <c r="E140" s="5"/>
      <c r="F140" s="21"/>
    </row>
  </sheetData>
  <sortState xmlns:xlrd2="http://schemas.microsoft.com/office/spreadsheetml/2017/richdata2" ref="D108:E110">
    <sortCondition descending="1" ref="E109:E110"/>
  </sortState>
  <mergeCells count="8">
    <mergeCell ref="A106:K106"/>
    <mergeCell ref="A120:F120"/>
    <mergeCell ref="A2:D2"/>
    <mergeCell ref="A20:F20"/>
    <mergeCell ref="A34:H34"/>
    <mergeCell ref="A47:J47"/>
    <mergeCell ref="A70:J70"/>
    <mergeCell ref="A91:H9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4A7E-AD49-4051-BCDB-B3E79FC1B816}">
  <dimension ref="A1"/>
  <sheetViews>
    <sheetView showGridLines="0" tabSelected="1" topLeftCell="B1" zoomScale="85" zoomScaleNormal="85" workbookViewId="0">
      <selection activeCell="Z27" sqref="Z2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 </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Devaki Shinde</cp:lastModifiedBy>
  <dcterms:created xsi:type="dcterms:W3CDTF">2024-06-23T13:11:17Z</dcterms:created>
  <dcterms:modified xsi:type="dcterms:W3CDTF">2025-06-03T15:14:15Z</dcterms:modified>
</cp:coreProperties>
</file>